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9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mplate 1 - Audit Program" sheetId="2" state="visible" r:id="rId4"/>
    <sheet name="Template 2 - Scoping &amp; Mapping" sheetId="3" state="visible" r:id="rId5"/>
    <sheet name="Template 3 - Lawful Basis" sheetId="4" state="visible" r:id="rId6"/>
    <sheet name="Template 4 - DSR Checklist" sheetId="5" state="visible" r:id="rId7"/>
    <sheet name="Template 5 - DPIA Screening" sheetId="6" state="visible" r:id="rId8"/>
    <sheet name="Template 6 - ROPA" sheetId="7" state="visible" r:id="rId9"/>
    <sheet name="Template 7 - Vendor Tracker" sheetId="8" state="visible" r:id="rId10"/>
    <sheet name="Template 8 - Breach Log" sheetId="9" state="visible" r:id="rId11"/>
    <sheet name="Template 9 - Evidence Log" sheetId="10" state="visible" r:id="rId12"/>
    <sheet name="Template 10 - Findings &amp; Risk" sheetId="11" state="visible" r:id="rId13"/>
    <sheet name="Template 11 - Report Summary" sheetId="12" state="visible" r:id="rId14"/>
    <sheet name="Template 12 - Remediation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Auto-calculated: Date/Time Discovered + 3 days (the Art 33(1) '72 hours where feasible' deadline). Verify against the actual discovery time, not just the date.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Critical = imminent regulatory/enforcement exposure or ongoing rights violation. High = significant gap against a core Article, no compensating control. Medium = partial gap or compensating control exists. Low = minor/administrative gap with negligible risk.</t>
        </r>
      </text>
    </comment>
  </commentList>
</comments>
</file>

<file path=xl/sharedStrings.xml><?xml version="1.0" encoding="utf-8"?>
<sst xmlns="http://schemas.openxmlformats.org/spreadsheetml/2006/main" count="422" uniqueCount="368">
  <si>
    <t xml:space="preserve">GDPR Compliance Audit Toolkit</t>
  </si>
  <si>
    <t xml:space="preserve">Companion workbook to the GDPR Compliance Audit Handbook (.docx) — reusable templates for running a compliance audit against Regulation (EU) 2016/679.</t>
  </si>
  <si>
    <t xml:space="preserve">How to use this workbook</t>
  </si>
  <si>
    <t xml:space="preserve">1.</t>
  </si>
  <si>
    <t xml:space="preserve">This workbook contains 12 templates (Template 1-12), one per tab, each paired with a numbered walkthrough in Part Four of the companion handbook.</t>
  </si>
  <si>
    <t xml:space="preserve">2.</t>
  </si>
  <si>
    <t xml:space="preserve">GDPR is a law, not a certifiable management-system standard — there is no Stage 1/Stage 2 accredited audit here. These templates support a compliance audit run by an internal privacy/legal team or an external consultant.</t>
  </si>
  <si>
    <t xml:space="preserve">3.</t>
  </si>
  <si>
    <t xml:space="preserve">Work through the tabs roughly in order on your first audit. On future audits, start from Template 1 and jump to whichever tabs you need.</t>
  </si>
  <si>
    <t xml:space="preserve">4.</t>
  </si>
  <si>
    <t xml:space="preserve">Every template includes one example row in gray italics near the top — read it, then delete it or leave it for reference and add your own rows below.</t>
  </si>
  <si>
    <t xml:space="preserve">5.</t>
  </si>
  <si>
    <t xml:space="preserve">Yellow-headed columns are the ones you fill in during the audit; white-headed columns are pre-populated reference content (article text, audit questions) — do not delete these, only add to them if guidance changes.</t>
  </si>
  <si>
    <t xml:space="preserve">6.</t>
  </si>
  <si>
    <t xml:space="preserve">Cells with a dropdown arrow use validated lists (e.g. risk rating Critical/High/Medium/Low) — use the dropdown rather than typing free text, so future filtering and reporting stays consistent.</t>
  </si>
  <si>
    <t xml:space="preserve">7.</t>
  </si>
  <si>
    <t xml:space="preserve">Findings are risk-rated (Critical/High/Medium/Low), not graded as ISO-style major/minor nonconformities — GDPR compliance audits use risk-based findings, not certification pass/fail grading.</t>
  </si>
  <si>
    <t xml:space="preserve">8.</t>
  </si>
  <si>
    <t xml:space="preserve">Duplicate this whole workbook file at the start of each new audit (e.g. 'GDPR Compliance Audit Toolkit - Acme Corp - 2026.xlsx') so you keep a clean, dated record per engagement.</t>
  </si>
  <si>
    <t xml:space="preserve">9.</t>
  </si>
  <si>
    <t xml:space="preserve">Template 9 (Evidence Log) and Template 12 (Remediation Action Tracker) are commonly kept open and updated for the life of the audit and beyond, rather than being one-time forms.</t>
  </si>
  <si>
    <t xml:space="preserve">Important context</t>
  </si>
  <si>
    <t xml:space="preserve">This toolkit supports a self-directed or consultant-led GDPR compliance audit. If a Data Protection Authority (DPA) opens a regulatory investigation, the dynamic changes — the DPA sets the scope, timeline and information requests, and you are responding to a statutory power (Art 58), not running your own program. See Handbook Part Three, Section 3.6.</t>
  </si>
  <si>
    <t xml:space="preserve">Tab index</t>
  </si>
  <si>
    <t xml:space="preserve">Tab name</t>
  </si>
  <si>
    <t xml:space="preserve">Purpose</t>
  </si>
  <si>
    <t xml:space="preserve">Template 1 - Audit Program</t>
  </si>
  <si>
    <t xml:space="preserve">Plan the audit: objectives, scope, criteria, team, schedule.</t>
  </si>
  <si>
    <t xml:space="preserve">Template 2 - Scoping &amp; Mapping</t>
  </si>
  <si>
    <t xml:space="preserve">Scope the audit and map personal-data processing activities and flows.</t>
  </si>
  <si>
    <t xml:space="preserve">Template 3 - Lawful Basis</t>
  </si>
  <si>
    <t xml:space="preserve">Test the Article 5 principles, Article 6 lawful basis and Article 9 special-category handling.</t>
  </si>
  <si>
    <t xml:space="preserve">Template 4 - DSR Checklist</t>
  </si>
  <si>
    <t xml:space="preserve">Test data subject rights processes (Art 12-23), one row per right, with response-time tracking.</t>
  </si>
  <si>
    <t xml:space="preserve">Template 5 - DPIA Screening</t>
  </si>
  <si>
    <t xml:space="preserve">Screen processing activities against mandatory DPIA triggers (Art 35(3)) and log DPIAs performed.</t>
  </si>
  <si>
    <t xml:space="preserve">Template 6 - ROPA</t>
  </si>
  <si>
    <t xml:space="preserve">Records of Processing Activities (ROPA) template with the actual Article 30 fields.</t>
  </si>
  <si>
    <t xml:space="preserve">Template 7 - Vendor Tracker</t>
  </si>
  <si>
    <t xml:space="preserve">Track vendor/processor due diligence and Article 28 data processing agreements (DPAs).</t>
  </si>
  <si>
    <t xml:space="preserve">Template 8 - Breach Log</t>
  </si>
  <si>
    <t xml:space="preserve">Log personal data breaches and track the Article 33/34 72-hour notification clock.</t>
  </si>
  <si>
    <t xml:space="preserve">Template 9 - Evidence Log</t>
  </si>
  <si>
    <t xml:space="preserve">Chronological log of every piece of evidence examined during the audit.</t>
  </si>
  <si>
    <t xml:space="preserve">Template 10 - Findings &amp; Risk</t>
  </si>
  <si>
    <t xml:space="preserve">Log and risk-rate every finding (Critical/High/Medium/Low) — not major/minor nonconformities.</t>
  </si>
  <si>
    <t xml:space="preserve">Template 11 - Report Summary</t>
  </si>
  <si>
    <t xml:space="preserve">The final compliance report: conclusion, findings summary, recommendation.</t>
  </si>
  <si>
    <t xml:space="preserve">Template 12 - Remediation</t>
  </si>
  <si>
    <t xml:space="preserve">Track remediation actions from assignment to verified closure.</t>
  </si>
  <si>
    <t xml:space="preserve">Template 1 — Audit Program &amp; Plan</t>
  </si>
  <si>
    <t xml:space="preserve">Complete the header fields, then build the day-by-day schedule below. See Handbook Walkthrough A.</t>
  </si>
  <si>
    <t xml:space="preserve">Organization / Auditee</t>
  </si>
  <si>
    <t xml:space="preserve">Northbridge Retail Ltd (EXAMPLE)</t>
  </si>
  <si>
    <t xml:space="preserve">Audit Type</t>
  </si>
  <si>
    <t xml:space="preserve">Internal compliance audit - annual accountability review (EXAMPLE)</t>
  </si>
  <si>
    <t xml:space="preserve">Trigger</t>
  </si>
  <si>
    <t xml:space="preserve">Scheduled annual review per Data Protection Policy DPP-01 (EXAMPLE)</t>
  </si>
  <si>
    <t xml:space="preserve">Processing Scope (from ROPA / data map)</t>
  </si>
  <si>
    <t xml:space="preserve">All customer- and employee-facing processing activities operated from the Dublin and London offices, including the e-commerce platform and HR systems (EXAMPLE)</t>
  </si>
  <si>
    <t xml:space="preserve">Audit Objectives</t>
  </si>
  <si>
    <t xml:space="preserve">Assess compliance with GDPR Articles 5-9, 12-23, 24-39 and 44-49; evaluate the effectiveness of accountability measures; identify compliance gaps and remediation priorities (EXAMPLE)</t>
  </si>
  <si>
    <t xml:space="preserve">Audit Criteria</t>
  </si>
  <si>
    <t xml:space="preserve">Regulation (EU) 2016/679; UK GDPR &amp; Data Protection Act 2018 (dual-regime, see callout); the organization's own Data Protection Policy v4 and ROPA (EXAMPLE)</t>
  </si>
  <si>
    <t xml:space="preserve">Audit Team (Lead / Members)</t>
  </si>
  <si>
    <t xml:space="preserve">R. Okafor (Lead, DPO), L. Fischer (Privacy Analyst), external counsel on retainer for Art 9 special-category review (EXAMPLE)</t>
  </si>
  <si>
    <t xml:space="preserve">Management Sponsor / Contact</t>
  </si>
  <si>
    <t xml:space="preserve">C. Dubois, General Counsel (EXAMPLE)</t>
  </si>
  <si>
    <t xml:space="preserve">Audit Dates</t>
  </si>
  <si>
    <t xml:space="preserve">2026-09-08 to 2026-09-12 (EXAMPLE)</t>
  </si>
  <si>
    <t xml:space="preserve">Sites / Remote-Onsite Mix</t>
  </si>
  <si>
    <t xml:space="preserve">Dublin HQ - on-site; London office - remote interviews (EXAMPLE)</t>
  </si>
  <si>
    <t xml:space="preserve">Day-by-day schedule</t>
  </si>
  <si>
    <t xml:space="preserve">Date</t>
  </si>
  <si>
    <t xml:space="preserve">Time</t>
  </si>
  <si>
    <t xml:space="preserve">Article(s) / Area</t>
  </si>
  <si>
    <t xml:space="preserve">Method (Interview/Doc review/Sampling)</t>
  </si>
  <si>
    <t xml:space="preserve">Auditor Assigned / Interviewee</t>
  </si>
  <si>
    <t xml:space="preserve">2026-09-08 (EXAMPLE)</t>
  </si>
  <si>
    <t xml:space="preserve">09:00</t>
  </si>
  <si>
    <t xml:space="preserve">Opening meeting; scoping &amp; data mapping review</t>
  </si>
  <si>
    <t xml:space="preserve">Interview</t>
  </si>
  <si>
    <t xml:space="preserve">R. Okafor / C. Dubois</t>
  </si>
  <si>
    <t xml:space="preserve">Template 2 — Scoping &amp; Data Mapping Worksheet</t>
  </si>
  <si>
    <t xml:space="preserve">Identify every processing activity and how personal data flows through it before evidence-gathering begins. See Handbook Walkthrough B.</t>
  </si>
  <si>
    <t xml:space="preserve">Processing Activity</t>
  </si>
  <si>
    <t xml:space="preserve">Business Purpose</t>
  </si>
  <si>
    <t xml:space="preserve">System(s) / Application(s)</t>
  </si>
  <si>
    <t xml:space="preserve">Data Source (collected from)</t>
  </si>
  <si>
    <t xml:space="preserve">Data Destination (shared with)</t>
  </si>
  <si>
    <t xml:space="preserve">Cross-Border
Transfer? (Y/N)</t>
  </si>
  <si>
    <t xml:space="preserve">In Audit Scope? (Y/N)</t>
  </si>
  <si>
    <t xml:space="preserve">Online checkout &amp; order fulfilment (EXAMPLE)</t>
  </si>
  <si>
    <t xml:space="preserve">Process customer purchases and deliver goods</t>
  </si>
  <si>
    <t xml:space="preserve">Shopify storefront; SAP order management</t>
  </si>
  <si>
    <t xml:space="preserve">Customer, via checkout form</t>
  </si>
  <si>
    <t xml:space="preserve">Payment processor (Stripe); courier (DPD) for delivery</t>
  </si>
  <si>
    <t xml:space="preserve">Y - Stripe (US, SCCs in place)</t>
  </si>
  <si>
    <t xml:space="preserve">Y</t>
  </si>
  <si>
    <t xml:space="preserve">Template 3 — Principles &amp; Lawful Basis Checklist (Art 5, 6, 9)</t>
  </si>
  <si>
    <t xml:space="preserve">Test each principle, the documented lawful basis, and special-category handling for every processing activity in scope. See Handbook Walkthrough C.</t>
  </si>
  <si>
    <t xml:space="preserve">Part A — Article 5 Principles (test against a sampled processing activity)</t>
  </si>
  <si>
    <t xml:space="preserve">Article</t>
  </si>
  <si>
    <t xml:space="preserve">Principle</t>
  </si>
  <si>
    <t xml:space="preserve">Audit Question</t>
  </si>
  <si>
    <t xml:space="preserve">Evidence Examined</t>
  </si>
  <si>
    <t xml:space="preserve">Compliance</t>
  </si>
  <si>
    <t xml:space="preserve">Notes</t>
  </si>
  <si>
    <t xml:space="preserve">5(1)(a)</t>
  </si>
  <si>
    <t xml:space="preserve">Lawfulness, fairness, transparency</t>
  </si>
  <si>
    <t xml:space="preserve">Is there a valid lawful basis, and is processing transparent to the data subject via a clear privacy notice?</t>
  </si>
  <si>
    <t xml:space="preserve">Privacy Notice v6 (dated 2026-01-10) reviewed; checkout consent log sampled (EXAMPLE)</t>
  </si>
  <si>
    <t xml:space="preserve">Meets</t>
  </si>
  <si>
    <t xml:space="preserve">Lawfulness, fairness and transparency</t>
  </si>
  <si>
    <t xml:space="preserve">Is a lawful basis documented and is the data subject given clear, accessible information at collection?</t>
  </si>
  <si>
    <t xml:space="preserve">5(1)(b)</t>
  </si>
  <si>
    <t xml:space="preserve">Purpose limitation</t>
  </si>
  <si>
    <t xml:space="preserve">Is personal data collected for specified, explicit, legitimate purposes and not further processed incompatibly?</t>
  </si>
  <si>
    <t xml:space="preserve">5(1)(c)</t>
  </si>
  <si>
    <t xml:space="preserve">Data minimisation</t>
  </si>
  <si>
    <t xml:space="preserve">Is the data collected adequate, relevant and limited to what is necessary for the purpose?</t>
  </si>
  <si>
    <t xml:space="preserve">5(1)(d)</t>
  </si>
  <si>
    <t xml:space="preserve">Accuracy</t>
  </si>
  <si>
    <t xml:space="preserve">Are reasonable steps taken to keep personal data accurate and up to date, with erasure/rectification of inaccurate data?</t>
  </si>
  <si>
    <t xml:space="preserve">5(1)(e)</t>
  </si>
  <si>
    <t xml:space="preserve">Storage limitation</t>
  </si>
  <si>
    <t xml:space="preserve">Is personal data kept no longer than necessary, per a documented retention schedule?</t>
  </si>
  <si>
    <t xml:space="preserve">5(1)(f)</t>
  </si>
  <si>
    <t xml:space="preserve">Integrity and confidentiality (security)</t>
  </si>
  <si>
    <t xml:space="preserve">Is personal data processed with appropriate security, including protection against unauthorised/unlawful processing and accidental loss?</t>
  </si>
  <si>
    <t xml:space="preserve">5(2)</t>
  </si>
  <si>
    <t xml:space="preserve">Accountability</t>
  </si>
  <si>
    <t xml:space="preserve">Can the controller demonstrate compliance with the above principles (documentation, policies, records), not just assert it?</t>
  </si>
  <si>
    <t xml:space="preserve">Part B — Article 6 Lawful Basis Register (one row per processing activity)</t>
  </si>
  <si>
    <t xml:space="preserve">Lawful Basis Relied On</t>
  </si>
  <si>
    <t xml:space="preserve">Basis Documented
Where?</t>
  </si>
  <si>
    <t xml:space="preserve">Basis Appropriate?</t>
  </si>
  <si>
    <t xml:space="preserve">Contract necessity - Art 6(1)(b)</t>
  </si>
  <si>
    <t xml:space="preserve">ROPA row 1; Terms of Sale s.2</t>
  </si>
  <si>
    <t xml:space="preserve">Yes</t>
  </si>
  <si>
    <t xml:space="preserve">Checkout ToS acceptance logged with timestamp (EXAMPLE)</t>
  </si>
  <si>
    <t xml:space="preserve">Part C — Article 9 Special Category Data Screening</t>
  </si>
  <si>
    <t xml:space="preserve">Special Category Data Involved? (Art 9(1))</t>
  </si>
  <si>
    <t xml:space="preserve">Category(ies)</t>
  </si>
  <si>
    <t xml:space="preserve">Art 9(2) Exception Relied On</t>
  </si>
  <si>
    <t xml:space="preserve">Evidence</t>
  </si>
  <si>
    <t xml:space="preserve">Employee health &amp; sickness records (EXAMPLE)</t>
  </si>
  <si>
    <t xml:space="preserve">Health data</t>
  </si>
  <si>
    <t xml:space="preserve">Art 9(2)(b) - employment/social security law</t>
  </si>
  <si>
    <t xml:space="preserve">HR Policy s.4; sick-leave records sampled (EXAMPLE)</t>
  </si>
  <si>
    <t xml:space="preserve">Template 4 — Data Subject Rights Checklist (Art 12-23)</t>
  </si>
  <si>
    <t xml:space="preserve">One row per right. Test that a documented process exists and sample real requests for response-time compliance. See Handbook Walkthrough D.</t>
  </si>
  <si>
    <t xml:space="preserve">Right / Duty</t>
  </si>
  <si>
    <t xml:space="preserve">Process
Documented?</t>
  </si>
  <si>
    <t xml:space="preserve">Avg Response
Time (days)</t>
  </si>
  <si>
    <t xml:space="preserve">Within 1
Month? (Y/N)</t>
  </si>
  <si>
    <t xml:space="preserve">15</t>
  </si>
  <si>
    <t xml:space="preserve">Right of access</t>
  </si>
  <si>
    <t xml:space="preserve">Is there a documented process to respond to access requests within one month, verifying identity and providing a copy of the data and required information?</t>
  </si>
  <si>
    <t xml:space="preserve">SAR log sampled: 8 requests Jan-Jun 2026; response log (EXAMPLE)</t>
  </si>
  <si>
    <t xml:space="preserve">12</t>
  </si>
  <si>
    <t xml:space="preserve">Transparency &amp; modalities of exercising rights</t>
  </si>
  <si>
    <t xml:space="preserve">Is information provided to data subjects in a concise, transparent, intelligible, easily accessible form, and are requests facilitated free of charge within one month?</t>
  </si>
  <si>
    <t xml:space="preserve">13</t>
  </si>
  <si>
    <t xml:space="preserve">Information to be provided (data collected from subject)</t>
  </si>
  <si>
    <t xml:space="preserve">Is the required Art 13 information (identity, purposes, legal basis, recipients, retention, rights) given at the point of collection?</t>
  </si>
  <si>
    <t xml:space="preserve">14</t>
  </si>
  <si>
    <t xml:space="preserve">Information to be provided (data not obtained from subject)</t>
  </si>
  <si>
    <t xml:space="preserve">Where data is obtained from a third party, is the required Art 14 information provided within a reasonable period (and no later than one month)?</t>
  </si>
  <si>
    <t xml:space="preserve">Can a data subject obtain confirmation of processing, a copy of their data and the Art 15(1) information, within one month?</t>
  </si>
  <si>
    <t xml:space="preserve">16</t>
  </si>
  <si>
    <t xml:space="preserve">Right to rectification</t>
  </si>
  <si>
    <t xml:space="preserve">Is there a process to correct inaccurate personal data without undue delay?</t>
  </si>
  <si>
    <t xml:space="preserve">17</t>
  </si>
  <si>
    <t xml:space="preserve">Right to erasure ('right to be forgotten')</t>
  </si>
  <si>
    <t xml:space="preserve">Is there a process to erase personal data on a valid ground under Art 17(1), and to notify recipients per Art 19?</t>
  </si>
  <si>
    <t xml:space="preserve">18</t>
  </si>
  <si>
    <t xml:space="preserve">Right to restriction of processing</t>
  </si>
  <si>
    <t xml:space="preserve">Is there a process to restrict (rather than delete) processing when a valid Art 18 ground applies?</t>
  </si>
  <si>
    <t xml:space="preserve">19</t>
  </si>
  <si>
    <t xml:space="preserve">Notification obligation regarding rectification/erasure/restriction</t>
  </si>
  <si>
    <t xml:space="preserve">Are recipients to whom data was disclosed notified of any rectification, erasure or restriction, unless impossible or disproportionate?</t>
  </si>
  <si>
    <t xml:space="preserve">20</t>
  </si>
  <si>
    <t xml:space="preserve">Right to data portability</t>
  </si>
  <si>
    <t xml:space="preserve">Can a data subject receive their data in a structured, commonly used, machine-readable format, and have it transmitted to another controller where technically feasible?</t>
  </si>
  <si>
    <t xml:space="preserve">21</t>
  </si>
  <si>
    <t xml:space="preserve">Right to object</t>
  </si>
  <si>
    <t xml:space="preserve">Is there a process to handle objections to processing (including direct marketing, which must stop unconditionally)?</t>
  </si>
  <si>
    <t xml:space="preserve">22</t>
  </si>
  <si>
    <t xml:space="preserve">Automated individual decision-making, including profiling</t>
  </si>
  <si>
    <t xml:space="preserve">Where solely automated decisions with legal/similarly significant effects occur, are the Art 22(3) safeguards (human intervention, right to contest) in place?</t>
  </si>
  <si>
    <t xml:space="preserve">23</t>
  </si>
  <si>
    <t xml:space="preserve">Restrictions</t>
  </si>
  <si>
    <t xml:space="preserve">Where any restriction on the above rights is applied under national law, is it documented and justified against Art 23 criteria?</t>
  </si>
  <si>
    <t xml:space="preserve">Template 5 — DPIA Screening &amp; Register</t>
  </si>
  <si>
    <t xml:space="preserve">Part A screens each processing activity against the Art 35(3) mandatory triggers plus ICO supplementary triggers. Part B logs DPIAs actually performed. See Handbook Walkthrough E.</t>
  </si>
  <si>
    <t xml:space="preserve">Part A — DPIA Trigger Screening Checklist</t>
  </si>
  <si>
    <t xml:space="preserve">Processing activity being screened:</t>
  </si>
  <si>
    <t xml:space="preserve">Employee facial-recognition access control system (EXAMPLE)</t>
  </si>
  <si>
    <t xml:space="preserve">Description</t>
  </si>
  <si>
    <t xml:space="preserve">Applies? (Y/N)</t>
  </si>
  <si>
    <t xml:space="preserve">Art 35(3)(a) — Systematic/extensive profiling</t>
  </si>
  <si>
    <t xml:space="preserve">Systematic and extensive evaluation of personal aspects based on automated processing, including profiling, producing legal or similarly significant effects</t>
  </si>
  <si>
    <t xml:space="preserve">Art 35(3)(b) — Large-scale special category / criminal data</t>
  </si>
  <si>
    <t xml:space="preserve">Large-scale processing of special category data (Art 9) or personal data relating to criminal convictions/offences (Art 10)</t>
  </si>
  <si>
    <t xml:space="preserve">Art 35(3)(c) — Large-scale public monitoring</t>
  </si>
  <si>
    <t xml:space="preserve">Systematic monitoring of a publicly accessible area on a large scale</t>
  </si>
  <si>
    <t xml:space="preserve">N</t>
  </si>
  <si>
    <t xml:space="preserve">ICO — Innovative technology</t>
  </si>
  <si>
    <t xml:space="preserve">Use of new or innovative technology, or novel application of existing technology</t>
  </si>
  <si>
    <t xml:space="preserve">ICO — Denial of service</t>
  </si>
  <si>
    <t xml:space="preserve">Automated decision-making with legal or similarly significant effect that could deny someone a service or opportunity</t>
  </si>
  <si>
    <t xml:space="preserve">ICO — Large-scale profiling</t>
  </si>
  <si>
    <t xml:space="preserve">Any profiling of individuals on a large scale</t>
  </si>
  <si>
    <t xml:space="preserve">ICO — Biometric or genetic data</t>
  </si>
  <si>
    <t xml:space="preserve">Processing of biometric or genetic data combined with any other factor</t>
  </si>
  <si>
    <t xml:space="preserve">ICO — Data matching</t>
  </si>
  <si>
    <t xml:space="preserve">Combining, comparing or matching data from multiple sources</t>
  </si>
  <si>
    <t xml:space="preserve">ICO — Invisible processing</t>
  </si>
  <si>
    <t xml:space="preserve">Processing that data subjects are not likely to be aware is happening</t>
  </si>
  <si>
    <t xml:space="preserve">ICO — Tracking / geolocation</t>
  </si>
  <si>
    <t xml:space="preserve">Tracking an individual's geolocation or behaviour, including online</t>
  </si>
  <si>
    <t xml:space="preserve">ICO — Targeting children or vulnerable individuals</t>
  </si>
  <si>
    <t xml:space="preserve">Processing that targets children or other vulnerable individuals for marketing, profiling or automated decisions</t>
  </si>
  <si>
    <t xml:space="preserve">ICO — Risk of physical harm</t>
  </si>
  <si>
    <t xml:space="preserve">Processing that, if a breach occurred, could result in physical harm to individuals</t>
  </si>
  <si>
    <t xml:space="preserve">DPIA required?</t>
  </si>
  <si>
    <t xml:space="preserve">Part B — DPIA Register (log of DPIAs performed)</t>
  </si>
  <si>
    <t xml:space="preserve">Processing Activity / System</t>
  </si>
  <si>
    <t xml:space="preserve">DPIA Reference &amp; Date</t>
  </si>
  <si>
    <t xml:space="preserve">Outcome</t>
  </si>
  <si>
    <t xml:space="preserve">Risks Identified &amp; Mitigations / Prior Consultation Needed?</t>
  </si>
  <si>
    <t xml:space="preserve">Employee facial-recognition access control (EXAMPLE)</t>
  </si>
  <si>
    <t xml:space="preserve">DPIA-2026-002, dated 2026-02-14</t>
  </si>
  <si>
    <t xml:space="preserve">Proceed with mitigations</t>
  </si>
  <si>
    <t xml:space="preserve">High risk to employee privacy from biometric processing; mitigated by opt-out badge alternative, encryption at rest, 30-day auto-deletion; residual risk assessed as medium, no Art 36 prior consultation required (EXAMPLE)</t>
  </si>
  <si>
    <t xml:space="preserve">Template 6 — Records of Processing Activities (ROPA), Art 30</t>
  </si>
  <si>
    <t xml:space="preserve">Reproduces the actual Article 30 fields. Note &lt;250-employee exemption (Art 30(5)) is narrow — it does not apply if processing is regular, risky, or involves special-category/criminal data. See Handbook Walkthrough F.</t>
  </si>
  <si>
    <t xml:space="preserve">Processing Activity
(Purpose)</t>
  </si>
  <si>
    <t xml:space="preserve">Categories of
Data Subjects</t>
  </si>
  <si>
    <t xml:space="preserve">Categories of
Personal Data</t>
  </si>
  <si>
    <t xml:space="preserve">Recipients
(incl. processors)</t>
  </si>
  <si>
    <t xml:space="preserve">Third-Country
Transfers &amp; Safeguard</t>
  </si>
  <si>
    <t xml:space="preserve">Retention
Period</t>
  </si>
  <si>
    <t xml:space="preserve">Security Measures
(TOMs) — Art 32</t>
  </si>
  <si>
    <t xml:space="preserve">Controller/Processor
Contact incl. DPO</t>
  </si>
  <si>
    <t xml:space="preserve">Last Reviewed</t>
  </si>
  <si>
    <t xml:space="preserve">Process customer orders &amp; payments (EXAMPLE)</t>
  </si>
  <si>
    <t xml:space="preserve">Customers / website users</t>
  </si>
  <si>
    <t xml:space="preserve">Name, address, email, order history, payment card token (not full PAN)</t>
  </si>
  <si>
    <t xml:space="preserve">Stripe (payment processor); DPD (courier)</t>
  </si>
  <si>
    <t xml:space="preserve">Y - Stripe Inc. (US) - EU Standard Contractual Clauses (2021 module 2)</t>
  </si>
  <si>
    <t xml:space="preserve">6 years after order (tax law)</t>
  </si>
  <si>
    <t xml:space="preserve">TLS 1.2+ in transit, AES-256 at rest, role-based access, MFA for admin console</t>
  </si>
  <si>
    <t xml:space="preserve">R. Okafor, DPO, dpo@northbridge.example</t>
  </si>
  <si>
    <t xml:space="preserve">2026-06-01</t>
  </si>
  <si>
    <t xml:space="preserve">Template 7 — Vendor / Processor Due Diligence Tracker (Art 28)</t>
  </si>
  <si>
    <t xml:space="preserve">Every processor must be bound by a written contract with the Art 28(3) mandatory clauses. See Handbook Walkthrough G.</t>
  </si>
  <si>
    <t xml:space="preserve">Vendor / Processor</t>
  </si>
  <si>
    <t xml:space="preserve">Service Provided</t>
  </si>
  <si>
    <t xml:space="preserve">Personal Data Processed</t>
  </si>
  <si>
    <t xml:space="preserve">DPA Signed?
(Y/N)</t>
  </si>
  <si>
    <t xml:space="preserve">DPA Date</t>
  </si>
  <si>
    <t xml:space="preserve">Sub-Processors
Approved? (Y/N)</t>
  </si>
  <si>
    <t xml:space="preserve">Transfer Mechanism
(if outside EEA)</t>
  </si>
  <si>
    <t xml:space="preserve">Risk Rating</t>
  </si>
  <si>
    <t xml:space="preserve">Next Review</t>
  </si>
  <si>
    <t xml:space="preserve">Stripe Inc. (EXAMPLE)</t>
  </si>
  <si>
    <t xml:space="preserve">Payment processing</t>
  </si>
  <si>
    <t xml:space="preserve">Name, payment token, order amount</t>
  </si>
  <si>
    <t xml:space="preserve">2025-03-01</t>
  </si>
  <si>
    <t xml:space="preserve">EU SCCs (2021, module 2) + Stripe Data Processing Addendum</t>
  </si>
  <si>
    <t xml:space="preserve">Medium</t>
  </si>
  <si>
    <t xml:space="preserve">2027-03-01</t>
  </si>
  <si>
    <t xml:space="preserve">Template 8 — Breach Response &amp; Notification Log (Art 33/34)</t>
  </si>
  <si>
    <t xml:space="preserve">Track the 72-hour DPA notification clock (Art 33) and, for high-risk breaches, individual notification (Art 34). See Handbook Walkthrough H.</t>
  </si>
  <si>
    <t xml:space="preserve">Breach ID</t>
  </si>
  <si>
    <t xml:space="preserve">Date/Time
Discovered</t>
  </si>
  <si>
    <t xml:space="preserve">Date/Time
of Breach</t>
  </si>
  <si>
    <t xml:space="preserve">Categories of Data
Affected</t>
  </si>
  <si>
    <t xml:space="preserve"># Data
Subjects</t>
  </si>
  <si>
    <t xml:space="preserve">Risk to
Rights? (Y/N)</t>
  </si>
  <si>
    <t xml:space="preserve">Notify DPA
Required? (Y/N)</t>
  </si>
  <si>
    <t xml:space="preserve">72-Hr Deadline
(auto-calc)</t>
  </si>
  <si>
    <t xml:space="preserve">DPA Notified
Date</t>
  </si>
  <si>
    <t xml:space="preserve">Notify Subjects
Required? (Y/N)</t>
  </si>
  <si>
    <t xml:space="preserve">Containment / Remediation Actions</t>
  </si>
  <si>
    <t xml:space="preserve">Status</t>
  </si>
  <si>
    <t xml:space="preserve">BR-001 (EXAMPLE)</t>
  </si>
  <si>
    <t xml:space="preserve">2026-07-02</t>
  </si>
  <si>
    <t xml:space="preserve">2026-06-30</t>
  </si>
  <si>
    <t xml:space="preserve">Misconfigured cloud storage bucket exposed customer name/email/order history</t>
  </si>
  <si>
    <t xml:space="preserve">Contact details, order history</t>
  </si>
  <si>
    <t xml:space="preserve">2026-07-04</t>
  </si>
  <si>
    <t xml:space="preserve">Bucket access closed within 2 hours of discovery; affected customers identified via access logs (EXAMPLE)</t>
  </si>
  <si>
    <t xml:space="preserve">Notified - Under Review</t>
  </si>
  <si>
    <t xml:space="preserve">Template 9 — Evidence Log</t>
  </si>
  <si>
    <t xml:space="preserve">Log every piece of evidence as you gather it — do not reconstruct from memory later. See Handbook Walkthrough I.</t>
  </si>
  <si>
    <t xml:space="preserve">Evidence ID</t>
  </si>
  <si>
    <t xml:space="preserve">Date / Time</t>
  </si>
  <si>
    <t xml:space="preserve">Source (Person / Document)</t>
  </si>
  <si>
    <t xml:space="preserve">Article Ref</t>
  </si>
  <si>
    <t xml:space="preserve">Description of Evidence Examined</t>
  </si>
  <si>
    <t xml:space="preserve">Supports</t>
  </si>
  <si>
    <t xml:space="preserve">Auditor</t>
  </si>
  <si>
    <t xml:space="preserve">EV-001 (EXAMPLE)</t>
  </si>
  <si>
    <t xml:space="preserve">2026-09-09 10:20</t>
  </si>
  <si>
    <t xml:space="preserve">Interview: C. Dubois, General Counsel</t>
  </si>
  <si>
    <t xml:space="preserve">Art 30 / ROPA</t>
  </si>
  <si>
    <t xml:space="preserve">Walked through ROPA maintenance process and 3 sampled entries for accuracy vs. actual systems in use</t>
  </si>
  <si>
    <t xml:space="preserve">Supports Compliance</t>
  </si>
  <si>
    <t xml:space="preserve">L. Fischer</t>
  </si>
  <si>
    <t xml:space="preserve">Template 10 — Findings &amp; Risk Tracker</t>
  </si>
  <si>
    <t xml:space="preserve">Risk-rated findings (Critical/High/Medium/Low) — GDPR compliance audits do not use ISO-style major/minor nonconformities. See Handbook Walkthrough J.</t>
  </si>
  <si>
    <t xml:space="preserve">Finding ID</t>
  </si>
  <si>
    <t xml:space="preserve">Date Raised</t>
  </si>
  <si>
    <t xml:space="preserve">Article
Ref</t>
  </si>
  <si>
    <t xml:space="preserve">Requirement (what should be in place)</t>
  </si>
  <si>
    <t xml:space="preserve">Gap Identified (what was found)</t>
  </si>
  <si>
    <t xml:space="preserve">Scope
(Isolated/Pattern)</t>
  </si>
  <si>
    <t xml:space="preserve">Raised By</t>
  </si>
  <si>
    <t xml:space="preserve">Auditee
Ack'd (Y/N)</t>
  </si>
  <si>
    <t xml:space="preserve">Root Cause</t>
  </si>
  <si>
    <t xml:space="preserve">Remediation Action Recommended</t>
  </si>
  <si>
    <t xml:space="preserve">Owner</t>
  </si>
  <si>
    <t xml:space="preserve">Due Date</t>
  </si>
  <si>
    <t xml:space="preserve">F-004</t>
  </si>
  <si>
    <t xml:space="preserve">2026-09-10</t>
  </si>
  <si>
    <t xml:space="preserve">Art 30</t>
  </si>
  <si>
    <t xml:space="preserve">Art 30 requires a written record of processing activities covering the mandatory fields for every processing operation.</t>
  </si>
  <si>
    <t xml:space="preserve">3 of 14 processing activities identified during data mapping (Template 2) had no corresponding ROPA entry, including a newly launched loyalty-points program processing purchase history.</t>
  </si>
  <si>
    <t xml:space="preserve">High</t>
  </si>
  <si>
    <t xml:space="preserve">Pattern</t>
  </si>
  <si>
    <t xml:space="preserve">ROPA updates are not triggered automatically when a new system/process launches; reliant on ad-hoc reporting by business owners</t>
  </si>
  <si>
    <t xml:space="preserve">Add a ROPA-update step to the project intake / change-management checklist; back-fill the 3 missing entries</t>
  </si>
  <si>
    <t xml:space="preserve">R. Okafor</t>
  </si>
  <si>
    <t xml:space="preserve">2026-10-15</t>
  </si>
  <si>
    <t xml:space="preserve">Open</t>
  </si>
  <si>
    <t xml:space="preserve">Template 11 — Compliance Report Summary</t>
  </si>
  <si>
    <t xml:space="preserve">See Handbook Walkthrough K. Attach Templates 2-10 as supporting audit working papers.</t>
  </si>
  <si>
    <t xml:space="preserve">Processing Scope Audited</t>
  </si>
  <si>
    <t xml:space="preserve">Audit Type (Internal / Consultant-Led / Other)</t>
  </si>
  <si>
    <t xml:space="preserve">Audit Team</t>
  </si>
  <si>
    <t xml:space="preserve">Areas / Articles Sampled</t>
  </si>
  <si>
    <t xml:space="preserve">Limitations / Exclusions from Plan</t>
  </si>
  <si>
    <t xml:space="preserve">Executive Summary &amp; Overall Conclusion</t>
  </si>
  <si>
    <t xml:space="preserve">Overall Compliance Rating</t>
  </si>
  <si>
    <t xml:space="preserve">Findings Summary by Risk Rating</t>
  </si>
  <si>
    <t xml:space="preserve">Count (from Template 10)</t>
  </si>
  <si>
    <t xml:space="preserve">Finding IDs</t>
  </si>
  <si>
    <t xml:space="preserve">Critical</t>
  </si>
  <si>
    <t xml:space="preserve">Low</t>
  </si>
  <si>
    <t xml:space="preserve">Lead Auditor / DPO Signature / Date</t>
  </si>
  <si>
    <t xml:space="preserve">Management Sponsor Signature / Date</t>
  </si>
  <si>
    <t xml:space="preserve">Template 12 — Remediation Action Tracker</t>
  </si>
  <si>
    <t xml:space="preserve">Track every finding's remediation from assignment through to verified closure. See Handbook Walkthrough L.</t>
  </si>
  <si>
    <t xml:space="preserve">Finding ID
(Tmpl 10)</t>
  </si>
  <si>
    <t xml:space="preserve">Risk
Rating</t>
  </si>
  <si>
    <t xml:space="preserve">Remediation Action</t>
  </si>
  <si>
    <t xml:space="preserve">Evidence of Completion</t>
  </si>
  <si>
    <t xml:space="preserve">Assigned Date</t>
  </si>
  <si>
    <t xml:space="preserve">Verified Date</t>
  </si>
  <si>
    <t xml:space="preserve">Verified By</t>
  </si>
  <si>
    <t xml:space="preserve">Add mandatory ROPA-update step to project intake / change-management checklist; back-fill 3 missing ROPA entries</t>
  </si>
  <si>
    <t xml:space="preserve">Updated change-management SOP (v2) + 3 new ROPA entries dated and reviewed by DPO (EXAMPLE)</t>
  </si>
  <si>
    <t xml:space="preserve">2026-09-12</t>
  </si>
  <si>
    <t xml:space="preserve">Verified Closed</t>
  </si>
  <si>
    <t xml:space="preserve">2026-10-20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</si>
</sst>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3"/>
      <color rgb="FF2E5395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1"/>
      <color rgb="FF2E5395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name val="Arial"/>
      <family val="2"/>
    </font>
    <font>
      <b val="true"/>
      <sz val="10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CE6F1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1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2"/>
  </cols>
  <sheetData>
    <row r="1" customFormat="false" ht="27.75" hidden="false" customHeight="true" outlineLevel="0" collapsed="false">
      <c r="A1" s="2" t="s">
        <v>0</v>
      </c>
      <c r="B1" s="2"/>
    </row>
    <row r="2" customFormat="false" ht="18" hidden="false" customHeight="true" outlineLevel="0" collapsed="false">
      <c r="A2" s="3" t="s">
        <v>1</v>
      </c>
      <c r="B2" s="3"/>
    </row>
    <row r="4" customFormat="false" ht="16.15" hidden="false" customHeight="false" outlineLevel="0" collapsed="false">
      <c r="A4" s="4" t="s">
        <v>2</v>
      </c>
    </row>
    <row r="5" customFormat="false" ht="31.5" hidden="false" customHeight="true" outlineLevel="0" collapsed="false">
      <c r="A5" s="5" t="s">
        <v>3</v>
      </c>
      <c r="B5" s="6" t="s">
        <v>4</v>
      </c>
    </row>
    <row r="7" customFormat="false" ht="31.5" hidden="false" customHeight="true" outlineLevel="0" collapsed="false">
      <c r="A7" s="5" t="s">
        <v>5</v>
      </c>
      <c r="B7" s="6" t="s">
        <v>6</v>
      </c>
    </row>
    <row r="9" customFormat="false" ht="31.5" hidden="false" customHeight="true" outlineLevel="0" collapsed="false">
      <c r="A9" s="5" t="s">
        <v>7</v>
      </c>
      <c r="B9" s="6" t="s">
        <v>8</v>
      </c>
    </row>
    <row r="11" customFormat="false" ht="31.5" hidden="false" customHeight="true" outlineLevel="0" collapsed="false">
      <c r="A11" s="5" t="s">
        <v>9</v>
      </c>
      <c r="B11" s="6" t="s">
        <v>10</v>
      </c>
    </row>
    <row r="13" customFormat="false" ht="31.5" hidden="false" customHeight="true" outlineLevel="0" collapsed="false">
      <c r="A13" s="5" t="s">
        <v>11</v>
      </c>
      <c r="B13" s="6" t="s">
        <v>12</v>
      </c>
    </row>
    <row r="15" customFormat="false" ht="31.5" hidden="false" customHeight="true" outlineLevel="0" collapsed="false">
      <c r="A15" s="5" t="s">
        <v>13</v>
      </c>
      <c r="B15" s="6" t="s">
        <v>14</v>
      </c>
    </row>
    <row r="17" customFormat="false" ht="31.5" hidden="false" customHeight="true" outlineLevel="0" collapsed="false">
      <c r="A17" s="5" t="s">
        <v>15</v>
      </c>
      <c r="B17" s="6" t="s">
        <v>16</v>
      </c>
    </row>
    <row r="19" customFormat="false" ht="31.5" hidden="false" customHeight="true" outlineLevel="0" collapsed="false">
      <c r="A19" s="5" t="s">
        <v>17</v>
      </c>
      <c r="B19" s="6" t="s">
        <v>18</v>
      </c>
    </row>
    <row r="21" customFormat="false" ht="31.5" hidden="false" customHeight="true" outlineLevel="0" collapsed="false">
      <c r="A21" s="5" t="s">
        <v>19</v>
      </c>
      <c r="B21" s="6" t="s">
        <v>20</v>
      </c>
    </row>
    <row r="24" customFormat="false" ht="16.15" hidden="false" customHeight="false" outlineLevel="0" collapsed="false">
      <c r="A24" s="4" t="s">
        <v>21</v>
      </c>
    </row>
    <row r="25" customFormat="false" ht="48" hidden="false" customHeight="true" outlineLevel="0" collapsed="false">
      <c r="A25" s="7" t="s">
        <v>22</v>
      </c>
      <c r="B25" s="7"/>
    </row>
    <row r="27" customFormat="false" ht="16.15" hidden="false" customHeight="false" outlineLevel="0" collapsed="false">
      <c r="A27" s="4" t="s">
        <v>23</v>
      </c>
    </row>
    <row r="28" customFormat="false" ht="21.75" hidden="false" customHeight="true" outlineLevel="0" collapsed="false">
      <c r="A28" s="8" t="s">
        <v>24</v>
      </c>
      <c r="B28" s="8" t="s">
        <v>25</v>
      </c>
    </row>
    <row r="29" customFormat="false" ht="25.5" hidden="false" customHeight="true" outlineLevel="0" collapsed="false">
      <c r="A29" s="9" t="s">
        <v>26</v>
      </c>
      <c r="B29" s="9" t="s">
        <v>27</v>
      </c>
    </row>
    <row r="30" customFormat="false" ht="25.5" hidden="false" customHeight="true" outlineLevel="0" collapsed="false">
      <c r="A30" s="10" t="s">
        <v>28</v>
      </c>
      <c r="B30" s="10" t="s">
        <v>29</v>
      </c>
    </row>
    <row r="31" customFormat="false" ht="25.5" hidden="false" customHeight="true" outlineLevel="0" collapsed="false">
      <c r="A31" s="9" t="s">
        <v>30</v>
      </c>
      <c r="B31" s="9" t="s">
        <v>31</v>
      </c>
    </row>
    <row r="32" customFormat="false" ht="25.5" hidden="false" customHeight="true" outlineLevel="0" collapsed="false">
      <c r="A32" s="10" t="s">
        <v>32</v>
      </c>
      <c r="B32" s="10" t="s">
        <v>33</v>
      </c>
    </row>
    <row r="33" customFormat="false" ht="25.5" hidden="false" customHeight="true" outlineLevel="0" collapsed="false">
      <c r="A33" s="9" t="s">
        <v>34</v>
      </c>
      <c r="B33" s="9" t="s">
        <v>35</v>
      </c>
    </row>
    <row r="34" customFormat="false" ht="25.5" hidden="false" customHeight="true" outlineLevel="0" collapsed="false">
      <c r="A34" s="10" t="s">
        <v>36</v>
      </c>
      <c r="B34" s="10" t="s">
        <v>37</v>
      </c>
    </row>
    <row r="35" customFormat="false" ht="25.5" hidden="false" customHeight="true" outlineLevel="0" collapsed="false">
      <c r="A35" s="9" t="s">
        <v>38</v>
      </c>
      <c r="B35" s="9" t="s">
        <v>39</v>
      </c>
    </row>
    <row r="36" customFormat="false" ht="25.5" hidden="false" customHeight="true" outlineLevel="0" collapsed="false">
      <c r="A36" s="10" t="s">
        <v>40</v>
      </c>
      <c r="B36" s="10" t="s">
        <v>41</v>
      </c>
    </row>
    <row r="37" customFormat="false" ht="25.5" hidden="false" customHeight="true" outlineLevel="0" collapsed="false">
      <c r="A37" s="9" t="s">
        <v>42</v>
      </c>
      <c r="B37" s="9" t="s">
        <v>43</v>
      </c>
    </row>
    <row r="38" customFormat="false" ht="25.5" hidden="false" customHeight="true" outlineLevel="0" collapsed="false">
      <c r="A38" s="10" t="s">
        <v>44</v>
      </c>
      <c r="B38" s="10" t="s">
        <v>45</v>
      </c>
    </row>
    <row r="39" customFormat="false" ht="25.5" hidden="false" customHeight="true" outlineLevel="0" collapsed="false">
      <c r="A39" s="9" t="s">
        <v>46</v>
      </c>
      <c r="B39" s="9" t="s">
        <v>47</v>
      </c>
    </row>
    <row r="40" customFormat="false" ht="25.5" hidden="false" customHeight="true" outlineLevel="0" collapsed="false">
      <c r="A40" s="10" t="s">
        <v>48</v>
      </c>
      <c r="B40" s="10" t="s">
        <v>49</v>
      </c>
    </row>
  </sheetData>
  <mergeCells count="3">
    <mergeCell ref="A1:B1"/>
    <mergeCell ref="A2:B2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30"/>
  </cols>
  <sheetData>
    <row r="1" customFormat="false" ht="27.75" hidden="false" customHeight="true" outlineLevel="0" collapsed="false">
      <c r="A1" s="2" t="s">
        <v>50</v>
      </c>
      <c r="B1" s="2"/>
      <c r="C1" s="2"/>
      <c r="D1" s="2"/>
      <c r="E1" s="2"/>
    </row>
    <row r="2" customFormat="false" ht="18" hidden="false" customHeight="true" outlineLevel="0" collapsed="false">
      <c r="A2" s="3" t="s">
        <v>51</v>
      </c>
      <c r="B2" s="3"/>
      <c r="C2" s="3"/>
      <c r="D2" s="3"/>
      <c r="E2" s="3"/>
    </row>
    <row r="4" customFormat="false" ht="31.5" hidden="false" customHeight="true" outlineLevel="0" collapsed="false">
      <c r="A4" s="11" t="s">
        <v>52</v>
      </c>
      <c r="B4" s="12" t="s">
        <v>53</v>
      </c>
      <c r="C4" s="12"/>
      <c r="D4" s="12"/>
      <c r="E4" s="12"/>
    </row>
    <row r="5" customFormat="false" ht="31.5" hidden="false" customHeight="true" outlineLevel="0" collapsed="false">
      <c r="A5" s="11" t="s">
        <v>54</v>
      </c>
      <c r="B5" s="12" t="s">
        <v>55</v>
      </c>
      <c r="C5" s="12"/>
      <c r="D5" s="12"/>
      <c r="E5" s="12"/>
    </row>
    <row r="6" customFormat="false" ht="31.5" hidden="false" customHeight="true" outlineLevel="0" collapsed="false">
      <c r="A6" s="11" t="s">
        <v>56</v>
      </c>
      <c r="B6" s="12" t="s">
        <v>57</v>
      </c>
      <c r="C6" s="12"/>
      <c r="D6" s="12"/>
      <c r="E6" s="12"/>
    </row>
    <row r="7" customFormat="false" ht="31.5" hidden="false" customHeight="true" outlineLevel="0" collapsed="false">
      <c r="A7" s="11" t="s">
        <v>58</v>
      </c>
      <c r="B7" s="12" t="s">
        <v>59</v>
      </c>
      <c r="C7" s="12"/>
      <c r="D7" s="12"/>
      <c r="E7" s="12"/>
    </row>
    <row r="8" customFormat="false" ht="31.5" hidden="false" customHeight="true" outlineLevel="0" collapsed="false">
      <c r="A8" s="11" t="s">
        <v>60</v>
      </c>
      <c r="B8" s="12" t="s">
        <v>61</v>
      </c>
      <c r="C8" s="12"/>
      <c r="D8" s="12"/>
      <c r="E8" s="12"/>
    </row>
    <row r="9" customFormat="false" ht="31.5" hidden="false" customHeight="true" outlineLevel="0" collapsed="false">
      <c r="A9" s="11" t="s">
        <v>62</v>
      </c>
      <c r="B9" s="12" t="s">
        <v>63</v>
      </c>
      <c r="C9" s="12"/>
      <c r="D9" s="12"/>
      <c r="E9" s="12"/>
    </row>
    <row r="10" customFormat="false" ht="31.5" hidden="false" customHeight="true" outlineLevel="0" collapsed="false">
      <c r="A10" s="11" t="s">
        <v>64</v>
      </c>
      <c r="B10" s="12" t="s">
        <v>65</v>
      </c>
      <c r="C10" s="12"/>
      <c r="D10" s="12"/>
      <c r="E10" s="12"/>
    </row>
    <row r="11" customFormat="false" ht="31.5" hidden="false" customHeight="true" outlineLevel="0" collapsed="false">
      <c r="A11" s="11" t="s">
        <v>66</v>
      </c>
      <c r="B11" s="12" t="s">
        <v>67</v>
      </c>
      <c r="C11" s="12"/>
      <c r="D11" s="12"/>
      <c r="E11" s="12"/>
    </row>
    <row r="12" customFormat="false" ht="31.5" hidden="false" customHeight="true" outlineLevel="0" collapsed="false">
      <c r="A12" s="11" t="s">
        <v>68</v>
      </c>
      <c r="B12" s="12" t="s">
        <v>69</v>
      </c>
      <c r="C12" s="12"/>
      <c r="D12" s="12"/>
      <c r="E12" s="12"/>
    </row>
    <row r="13" customFormat="false" ht="31.5" hidden="false" customHeight="true" outlineLevel="0" collapsed="false">
      <c r="A13" s="11" t="s">
        <v>70</v>
      </c>
      <c r="B13" s="12" t="s">
        <v>71</v>
      </c>
      <c r="C13" s="12"/>
      <c r="D13" s="12"/>
      <c r="E13" s="12"/>
    </row>
    <row r="15" customFormat="false" ht="16.15" hidden="false" customHeight="false" outlineLevel="0" collapsed="false">
      <c r="A15" s="4" t="s">
        <v>72</v>
      </c>
    </row>
    <row r="16" customFormat="false" ht="31.5" hidden="false" customHeight="true" outlineLevel="0" collapsed="false">
      <c r="A16" s="8" t="s">
        <v>73</v>
      </c>
      <c r="B16" s="8" t="s">
        <v>74</v>
      </c>
      <c r="C16" s="8" t="s">
        <v>75</v>
      </c>
      <c r="D16" s="8" t="s">
        <v>76</v>
      </c>
      <c r="E16" s="8" t="s">
        <v>77</v>
      </c>
    </row>
    <row r="17" customFormat="false" ht="35.05" hidden="false" customHeight="false" outlineLevel="0" collapsed="false">
      <c r="A17" s="13" t="s">
        <v>78</v>
      </c>
      <c r="B17" s="13" t="s">
        <v>79</v>
      </c>
      <c r="C17" s="13" t="s">
        <v>80</v>
      </c>
      <c r="D17" s="13" t="s">
        <v>81</v>
      </c>
      <c r="E17" s="13" t="s">
        <v>82</v>
      </c>
    </row>
    <row r="18" customFormat="false" ht="19.5" hidden="false" customHeight="true" outlineLevel="0" collapsed="false">
      <c r="A18" s="14"/>
      <c r="B18" s="14"/>
      <c r="C18" s="14"/>
      <c r="D18" s="14"/>
      <c r="E18" s="14"/>
    </row>
    <row r="19" customFormat="false" ht="19.5" hidden="false" customHeight="true" outlineLevel="0" collapsed="false">
      <c r="A19" s="14"/>
      <c r="B19" s="14"/>
      <c r="C19" s="14"/>
      <c r="D19" s="14"/>
      <c r="E19" s="14"/>
    </row>
    <row r="20" customFormat="false" ht="19.5" hidden="false" customHeight="true" outlineLevel="0" collapsed="false">
      <c r="A20" s="14"/>
      <c r="B20" s="14"/>
      <c r="C20" s="14"/>
      <c r="D20" s="14"/>
      <c r="E20" s="14"/>
    </row>
    <row r="21" customFormat="false" ht="19.5" hidden="false" customHeight="true" outlineLevel="0" collapsed="false">
      <c r="A21" s="14"/>
      <c r="B21" s="14"/>
      <c r="C21" s="14"/>
      <c r="D21" s="14"/>
      <c r="E21" s="14"/>
    </row>
    <row r="22" customFormat="false" ht="19.5" hidden="false" customHeight="true" outlineLevel="0" collapsed="false">
      <c r="A22" s="14"/>
      <c r="B22" s="14"/>
      <c r="C22" s="14"/>
      <c r="D22" s="14"/>
      <c r="E22" s="14"/>
    </row>
    <row r="23" customFormat="false" ht="19.5" hidden="false" customHeight="true" outlineLevel="0" collapsed="false">
      <c r="A23" s="14"/>
      <c r="B23" s="14"/>
      <c r="C23" s="14"/>
      <c r="D23" s="14"/>
      <c r="E23" s="14"/>
    </row>
    <row r="24" customFormat="false" ht="19.5" hidden="false" customHeight="true" outlineLevel="0" collapsed="false">
      <c r="A24" s="14"/>
      <c r="B24" s="14"/>
      <c r="C24" s="14"/>
      <c r="D24" s="14"/>
      <c r="E24" s="14"/>
    </row>
    <row r="25" customFormat="false" ht="19.5" hidden="false" customHeight="true" outlineLevel="0" collapsed="false">
      <c r="A25" s="14"/>
      <c r="B25" s="14"/>
      <c r="C25" s="14"/>
      <c r="D25" s="14"/>
      <c r="E25" s="14"/>
    </row>
    <row r="26" customFormat="false" ht="19.5" hidden="false" customHeight="true" outlineLevel="0" collapsed="false">
      <c r="A26" s="14"/>
      <c r="B26" s="14"/>
      <c r="C26" s="14"/>
      <c r="D26" s="14"/>
      <c r="E26" s="14"/>
    </row>
    <row r="27" customFormat="false" ht="19.5" hidden="false" customHeight="true" outlineLevel="0" collapsed="false">
      <c r="A27" s="14"/>
      <c r="B27" s="14"/>
      <c r="C27" s="14"/>
      <c r="D27" s="14"/>
      <c r="E27" s="14"/>
    </row>
    <row r="28" customFormat="false" ht="19.5" hidden="false" customHeight="true" outlineLevel="0" collapsed="false">
      <c r="A28" s="14"/>
      <c r="B28" s="14"/>
      <c r="C28" s="14"/>
      <c r="D28" s="14"/>
      <c r="E28" s="14"/>
    </row>
    <row r="29" customFormat="false" ht="19.5" hidden="false" customHeight="true" outlineLevel="0" collapsed="false">
      <c r="A29" s="14"/>
      <c r="B29" s="14"/>
      <c r="C29" s="14"/>
      <c r="D29" s="14"/>
      <c r="E29" s="14"/>
    </row>
    <row r="30" customFormat="false" ht="19.5" hidden="false" customHeight="true" outlineLevel="0" collapsed="false">
      <c r="A30" s="14"/>
      <c r="B30" s="14"/>
      <c r="C30" s="14"/>
      <c r="D30" s="14"/>
      <c r="E30" s="14"/>
    </row>
    <row r="31" customFormat="false" ht="19.5" hidden="false" customHeight="true" outlineLevel="0" collapsed="false">
      <c r="A31" s="14"/>
      <c r="B31" s="14"/>
      <c r="C31" s="14"/>
      <c r="D31" s="14"/>
      <c r="E31" s="14"/>
    </row>
  </sheetData>
  <mergeCells count="12">
    <mergeCell ref="A1:E1"/>
    <mergeCell ref="A2:E2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dataValidations count="1">
    <dataValidation allowBlank="true" errorStyle="stop" operator="between" showDropDown="false" showErrorMessage="false" showInputMessage="false" sqref="D17:D31" type="list">
      <formula1>"Interview,Document review,System walkthrough,Sampling,Testing"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2"/>
  </cols>
  <sheetData>
    <row r="1" customFormat="false" ht="27.75" hidden="false" customHeight="true" outlineLevel="0" collapsed="false">
      <c r="A1" s="2" t="s">
        <v>83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84</v>
      </c>
      <c r="B2" s="3"/>
      <c r="C2" s="3"/>
      <c r="D2" s="3"/>
      <c r="E2" s="3"/>
      <c r="F2" s="3"/>
      <c r="G2" s="3"/>
    </row>
    <row r="4" customFormat="false" ht="31.5" hidden="false" customHeight="true" outlineLevel="0" collapsed="false">
      <c r="A4" s="8" t="s">
        <v>85</v>
      </c>
      <c r="B4" s="8" t="s">
        <v>86</v>
      </c>
      <c r="C4" s="8" t="s">
        <v>87</v>
      </c>
      <c r="D4" s="8" t="s">
        <v>88</v>
      </c>
      <c r="E4" s="8" t="s">
        <v>89</v>
      </c>
      <c r="F4" s="8" t="s">
        <v>90</v>
      </c>
      <c r="G4" s="8" t="s">
        <v>91</v>
      </c>
    </row>
    <row r="5" customFormat="false" ht="23.85" hidden="false" customHeight="false" outlineLevel="0" collapsed="false">
      <c r="A5" s="13" t="s">
        <v>92</v>
      </c>
      <c r="B5" s="13" t="s">
        <v>93</v>
      </c>
      <c r="C5" s="13" t="s">
        <v>94</v>
      </c>
      <c r="D5" s="13" t="s">
        <v>95</v>
      </c>
      <c r="E5" s="13" t="s">
        <v>96</v>
      </c>
      <c r="F5" s="13" t="s">
        <v>97</v>
      </c>
      <c r="G5" s="13" t="s">
        <v>98</v>
      </c>
    </row>
    <row r="6" customFormat="false" ht="25.5" hidden="false" customHeight="true" outlineLevel="0" collapsed="false">
      <c r="A6" s="14"/>
      <c r="B6" s="14"/>
      <c r="C6" s="14"/>
      <c r="D6" s="14"/>
      <c r="E6" s="14"/>
      <c r="F6" s="14"/>
      <c r="G6" s="14"/>
    </row>
    <row r="7" customFormat="false" ht="25.5" hidden="false" customHeight="true" outlineLevel="0" collapsed="false">
      <c r="A7" s="14"/>
      <c r="B7" s="14"/>
      <c r="C7" s="14"/>
      <c r="D7" s="14"/>
      <c r="E7" s="14"/>
      <c r="F7" s="14"/>
      <c r="G7" s="14"/>
    </row>
    <row r="8" customFormat="false" ht="25.5" hidden="false" customHeight="true" outlineLevel="0" collapsed="false">
      <c r="A8" s="14"/>
      <c r="B8" s="14"/>
      <c r="C8" s="14"/>
      <c r="D8" s="14"/>
      <c r="E8" s="14"/>
      <c r="F8" s="14"/>
      <c r="G8" s="14"/>
    </row>
    <row r="9" customFormat="false" ht="25.5" hidden="false" customHeight="true" outlineLevel="0" collapsed="false">
      <c r="A9" s="14"/>
      <c r="B9" s="14"/>
      <c r="C9" s="14"/>
      <c r="D9" s="14"/>
      <c r="E9" s="14"/>
      <c r="F9" s="14"/>
      <c r="G9" s="14"/>
    </row>
    <row r="10" customFormat="false" ht="25.5" hidden="false" customHeight="true" outlineLevel="0" collapsed="false">
      <c r="A10" s="14"/>
      <c r="B10" s="14"/>
      <c r="C10" s="14"/>
      <c r="D10" s="14"/>
      <c r="E10" s="14"/>
      <c r="F10" s="14"/>
      <c r="G10" s="14"/>
    </row>
    <row r="11" customFormat="false" ht="25.5" hidden="false" customHeight="true" outlineLevel="0" collapsed="false">
      <c r="A11" s="14"/>
      <c r="B11" s="14"/>
      <c r="C11" s="14"/>
      <c r="D11" s="14"/>
      <c r="E11" s="14"/>
      <c r="F11" s="14"/>
      <c r="G11" s="14"/>
    </row>
    <row r="12" customFormat="false" ht="25.5" hidden="false" customHeight="true" outlineLevel="0" collapsed="false">
      <c r="A12" s="14"/>
      <c r="B12" s="14"/>
      <c r="C12" s="14"/>
      <c r="D12" s="14"/>
      <c r="E12" s="14"/>
      <c r="F12" s="14"/>
      <c r="G12" s="14"/>
    </row>
    <row r="13" customFormat="false" ht="25.5" hidden="false" customHeight="true" outlineLevel="0" collapsed="false">
      <c r="A13" s="14"/>
      <c r="B13" s="14"/>
      <c r="C13" s="14"/>
      <c r="D13" s="14"/>
      <c r="E13" s="14"/>
      <c r="F13" s="14"/>
      <c r="G13" s="14"/>
    </row>
    <row r="14" customFormat="false" ht="25.5" hidden="false" customHeight="true" outlineLevel="0" collapsed="false">
      <c r="A14" s="14"/>
      <c r="B14" s="14"/>
      <c r="C14" s="14"/>
      <c r="D14" s="14"/>
      <c r="E14" s="14"/>
      <c r="F14" s="14"/>
      <c r="G14" s="14"/>
    </row>
    <row r="15" customFormat="false" ht="25.5" hidden="false" customHeight="true" outlineLevel="0" collapsed="false">
      <c r="A15" s="14"/>
      <c r="B15" s="14"/>
      <c r="C15" s="14"/>
      <c r="D15" s="14"/>
      <c r="E15" s="14"/>
      <c r="F15" s="14"/>
      <c r="G15" s="14"/>
    </row>
    <row r="16" customFormat="false" ht="25.5" hidden="false" customHeight="true" outlineLevel="0" collapsed="false">
      <c r="A16" s="14"/>
      <c r="B16" s="14"/>
      <c r="C16" s="14"/>
      <c r="D16" s="14"/>
      <c r="E16" s="14"/>
      <c r="F16" s="14"/>
      <c r="G16" s="14"/>
    </row>
    <row r="17" customFormat="false" ht="25.5" hidden="false" customHeight="true" outlineLevel="0" collapsed="false">
      <c r="A17" s="14"/>
      <c r="B17" s="14"/>
      <c r="C17" s="14"/>
      <c r="D17" s="14"/>
      <c r="E17" s="14"/>
      <c r="F17" s="14"/>
      <c r="G17" s="14"/>
    </row>
    <row r="18" customFormat="false" ht="25.5" hidden="false" customHeight="true" outlineLevel="0" collapsed="false">
      <c r="A18" s="14"/>
      <c r="B18" s="14"/>
      <c r="C18" s="14"/>
      <c r="D18" s="14"/>
      <c r="E18" s="14"/>
      <c r="F18" s="14"/>
      <c r="G18" s="14"/>
    </row>
    <row r="19" customFormat="false" ht="25.5" hidden="false" customHeight="true" outlineLevel="0" collapsed="false">
      <c r="A19" s="14"/>
      <c r="B19" s="14"/>
      <c r="C19" s="14"/>
      <c r="D19" s="14"/>
      <c r="E19" s="14"/>
      <c r="F19" s="14"/>
      <c r="G19" s="14"/>
    </row>
    <row r="20" customFormat="false" ht="25.5" hidden="false" customHeight="true" outlineLevel="0" collapsed="false">
      <c r="A20" s="14"/>
      <c r="B20" s="14"/>
      <c r="C20" s="14"/>
      <c r="D20" s="14"/>
      <c r="E20" s="14"/>
      <c r="F20" s="14"/>
      <c r="G20" s="14"/>
    </row>
    <row r="21" customFormat="false" ht="25.5" hidden="false" customHeight="true" outlineLevel="0" collapsed="false">
      <c r="A21" s="14"/>
      <c r="B21" s="14"/>
      <c r="C21" s="14"/>
      <c r="D21" s="14"/>
      <c r="E21" s="14"/>
      <c r="F21" s="14"/>
      <c r="G21" s="14"/>
    </row>
    <row r="22" customFormat="false" ht="25.5" hidden="false" customHeight="true" outlineLevel="0" collapsed="false">
      <c r="A22" s="14"/>
      <c r="B22" s="14"/>
      <c r="C22" s="14"/>
      <c r="D22" s="14"/>
      <c r="E22" s="14"/>
      <c r="F22" s="14"/>
      <c r="G22" s="14"/>
    </row>
    <row r="23" customFormat="false" ht="25.5" hidden="false" customHeight="true" outlineLevel="0" collapsed="false">
      <c r="A23" s="14"/>
      <c r="B23" s="14"/>
      <c r="C23" s="14"/>
      <c r="D23" s="14"/>
      <c r="E23" s="14"/>
      <c r="F23" s="14"/>
      <c r="G23" s="14"/>
    </row>
    <row r="24" customFormat="false" ht="25.5" hidden="false" customHeight="true" outlineLevel="0" collapsed="false">
      <c r="A24" s="14"/>
      <c r="B24" s="14"/>
      <c r="C24" s="14"/>
      <c r="D24" s="14"/>
      <c r="E24" s="14"/>
      <c r="F24" s="14"/>
      <c r="G24" s="14"/>
    </row>
    <row r="25" customFormat="false" ht="25.5" hidden="false" customHeight="true" outlineLevel="0" collapsed="false">
      <c r="A25" s="14"/>
      <c r="B25" s="14"/>
      <c r="C25" s="14"/>
      <c r="D25" s="14"/>
      <c r="E25" s="14"/>
      <c r="F25" s="14"/>
      <c r="G25" s="14"/>
    </row>
  </sheetData>
  <mergeCells count="2">
    <mergeCell ref="A1:G1"/>
    <mergeCell ref="A2:G2"/>
  </mergeCells>
  <dataValidations count="2">
    <dataValidation allowBlank="true" errorStyle="stop" operator="between" showDropDown="false" showErrorMessage="false" showInputMessage="false" sqref="F5:F25" type="list">
      <formula1>"Y,N"</formula1>
      <formula2>0</formula2>
    </dataValidation>
    <dataValidation allowBlank="true" errorStyle="stop" operator="between" showDropDown="false" showErrorMessage="false" showInputMessage="false" sqref="G5:G2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20"/>
    <col collapsed="false" customWidth="true" hidden="false" outlineLevel="0" max="5" min="5" style="1" width="34"/>
    <col collapsed="false" customWidth="true" hidden="false" outlineLevel="0" max="6" min="6" style="1" width="14"/>
  </cols>
  <sheetData>
    <row r="1" customFormat="false" ht="27.75" hidden="false" customHeight="true" outlineLevel="0" collapsed="false">
      <c r="A1" s="2" t="s">
        <v>99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100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15" t="s">
        <v>101</v>
      </c>
      <c r="B4" s="15"/>
      <c r="C4" s="15"/>
      <c r="D4" s="15"/>
      <c r="E4" s="15"/>
      <c r="F4" s="15"/>
    </row>
    <row r="5" customFormat="false" ht="31.5" hidden="false" customHeight="true" outlineLevel="0" collapsed="false">
      <c r="A5" s="8" t="s">
        <v>102</v>
      </c>
      <c r="B5" s="8" t="s">
        <v>103</v>
      </c>
      <c r="C5" s="8" t="s">
        <v>104</v>
      </c>
      <c r="D5" s="8" t="s">
        <v>105</v>
      </c>
      <c r="E5" s="8" t="s">
        <v>106</v>
      </c>
      <c r="F5" s="8" t="s">
        <v>107</v>
      </c>
    </row>
    <row r="6" customFormat="false" ht="46.25" hidden="false" customHeight="false" outlineLevel="0" collapsed="false">
      <c r="A6" s="13" t="s">
        <v>108</v>
      </c>
      <c r="B6" s="13" t="s">
        <v>109</v>
      </c>
      <c r="C6" s="13" t="s">
        <v>110</v>
      </c>
      <c r="D6" s="13" t="s">
        <v>111</v>
      </c>
      <c r="E6" s="13" t="s">
        <v>112</v>
      </c>
      <c r="F6" s="13"/>
    </row>
    <row r="7" customFormat="false" ht="30" hidden="false" customHeight="true" outlineLevel="0" collapsed="false">
      <c r="A7" s="16" t="s">
        <v>108</v>
      </c>
      <c r="B7" s="16" t="s">
        <v>113</v>
      </c>
      <c r="C7" s="16" t="s">
        <v>114</v>
      </c>
      <c r="D7" s="16"/>
      <c r="E7" s="16"/>
      <c r="F7" s="16"/>
    </row>
    <row r="8" customFormat="false" ht="30" hidden="false" customHeight="true" outlineLevel="0" collapsed="false">
      <c r="A8" s="16" t="s">
        <v>115</v>
      </c>
      <c r="B8" s="16" t="s">
        <v>116</v>
      </c>
      <c r="C8" s="16" t="s">
        <v>117</v>
      </c>
      <c r="D8" s="16"/>
      <c r="E8" s="16"/>
      <c r="F8" s="16"/>
    </row>
    <row r="9" customFormat="false" ht="30" hidden="false" customHeight="true" outlineLevel="0" collapsed="false">
      <c r="A9" s="16" t="s">
        <v>118</v>
      </c>
      <c r="B9" s="16" t="s">
        <v>119</v>
      </c>
      <c r="C9" s="16" t="s">
        <v>120</v>
      </c>
      <c r="D9" s="16"/>
      <c r="E9" s="16"/>
      <c r="F9" s="16"/>
    </row>
    <row r="10" customFormat="false" ht="30" hidden="false" customHeight="true" outlineLevel="0" collapsed="false">
      <c r="A10" s="16" t="s">
        <v>121</v>
      </c>
      <c r="B10" s="16" t="s">
        <v>122</v>
      </c>
      <c r="C10" s="16" t="s">
        <v>123</v>
      </c>
      <c r="D10" s="16"/>
      <c r="E10" s="16"/>
      <c r="F10" s="16"/>
    </row>
    <row r="11" customFormat="false" ht="30" hidden="false" customHeight="true" outlineLevel="0" collapsed="false">
      <c r="A11" s="16" t="s">
        <v>124</v>
      </c>
      <c r="B11" s="16" t="s">
        <v>125</v>
      </c>
      <c r="C11" s="16" t="s">
        <v>126</v>
      </c>
      <c r="D11" s="16"/>
      <c r="E11" s="16"/>
      <c r="F11" s="16"/>
    </row>
    <row r="12" customFormat="false" ht="30" hidden="false" customHeight="true" outlineLevel="0" collapsed="false">
      <c r="A12" s="16" t="s">
        <v>127</v>
      </c>
      <c r="B12" s="16" t="s">
        <v>128</v>
      </c>
      <c r="C12" s="16" t="s">
        <v>129</v>
      </c>
      <c r="D12" s="16"/>
      <c r="E12" s="16"/>
      <c r="F12" s="16"/>
    </row>
    <row r="13" customFormat="false" ht="30" hidden="false" customHeight="true" outlineLevel="0" collapsed="false">
      <c r="A13" s="16" t="s">
        <v>130</v>
      </c>
      <c r="B13" s="16" t="s">
        <v>131</v>
      </c>
      <c r="C13" s="16" t="s">
        <v>132</v>
      </c>
      <c r="D13" s="16"/>
      <c r="E13" s="16"/>
      <c r="F13" s="16"/>
    </row>
    <row r="15" customFormat="false" ht="15" hidden="false" customHeight="false" outlineLevel="0" collapsed="false">
      <c r="A15" s="15" t="s">
        <v>133</v>
      </c>
      <c r="B15" s="15"/>
      <c r="C15" s="15"/>
      <c r="D15" s="15"/>
      <c r="E15" s="15"/>
      <c r="F15" s="15"/>
    </row>
    <row r="16" customFormat="false" ht="31.5" hidden="false" customHeight="true" outlineLevel="0" collapsed="false">
      <c r="A16" s="8" t="s">
        <v>85</v>
      </c>
      <c r="B16" s="8" t="s">
        <v>134</v>
      </c>
      <c r="C16" s="8" t="s">
        <v>135</v>
      </c>
      <c r="D16" s="8" t="s">
        <v>136</v>
      </c>
      <c r="E16" s="8" t="s">
        <v>105</v>
      </c>
      <c r="F16" s="8" t="s">
        <v>107</v>
      </c>
    </row>
    <row r="17" customFormat="false" ht="46.25" hidden="false" customHeight="false" outlineLevel="0" collapsed="false">
      <c r="A17" s="13" t="s">
        <v>92</v>
      </c>
      <c r="B17" s="13" t="s">
        <v>137</v>
      </c>
      <c r="C17" s="13" t="s">
        <v>138</v>
      </c>
      <c r="D17" s="13" t="s">
        <v>139</v>
      </c>
      <c r="E17" s="13" t="s">
        <v>140</v>
      </c>
      <c r="F17" s="13"/>
    </row>
    <row r="18" customFormat="false" ht="25.5" hidden="false" customHeight="true" outlineLevel="0" collapsed="false">
      <c r="A18" s="14"/>
      <c r="B18" s="14"/>
      <c r="C18" s="14"/>
      <c r="D18" s="14"/>
      <c r="E18" s="14"/>
      <c r="F18" s="14"/>
    </row>
    <row r="19" customFormat="false" ht="25.5" hidden="false" customHeight="true" outlineLevel="0" collapsed="false">
      <c r="A19" s="14"/>
      <c r="B19" s="14"/>
      <c r="C19" s="14"/>
      <c r="D19" s="14"/>
      <c r="E19" s="14"/>
      <c r="F19" s="14"/>
    </row>
    <row r="20" customFormat="false" ht="25.5" hidden="false" customHeight="true" outlineLevel="0" collapsed="false">
      <c r="A20" s="14"/>
      <c r="B20" s="14"/>
      <c r="C20" s="14"/>
      <c r="D20" s="14"/>
      <c r="E20" s="14"/>
      <c r="F20" s="14"/>
    </row>
    <row r="21" customFormat="false" ht="25.5" hidden="false" customHeight="true" outlineLevel="0" collapsed="false">
      <c r="A21" s="14"/>
      <c r="B21" s="14"/>
      <c r="C21" s="14"/>
      <c r="D21" s="14"/>
      <c r="E21" s="14"/>
      <c r="F21" s="14"/>
    </row>
    <row r="22" customFormat="false" ht="25.5" hidden="false" customHeight="true" outlineLevel="0" collapsed="false">
      <c r="A22" s="14"/>
      <c r="B22" s="14"/>
      <c r="C22" s="14"/>
      <c r="D22" s="14"/>
      <c r="E22" s="14"/>
      <c r="F22" s="14"/>
    </row>
    <row r="23" customFormat="false" ht="25.5" hidden="false" customHeight="true" outlineLevel="0" collapsed="false">
      <c r="A23" s="14"/>
      <c r="B23" s="14"/>
      <c r="C23" s="14"/>
      <c r="D23" s="14"/>
      <c r="E23" s="14"/>
      <c r="F23" s="14"/>
    </row>
    <row r="24" customFormat="false" ht="25.5" hidden="false" customHeight="true" outlineLevel="0" collapsed="false">
      <c r="A24" s="14"/>
      <c r="B24" s="14"/>
      <c r="C24" s="14"/>
      <c r="D24" s="14"/>
      <c r="E24" s="14"/>
      <c r="F24" s="14"/>
    </row>
    <row r="25" customFormat="false" ht="25.5" hidden="false" customHeight="true" outlineLevel="0" collapsed="false">
      <c r="A25" s="14"/>
      <c r="B25" s="14"/>
      <c r="C25" s="14"/>
      <c r="D25" s="14"/>
      <c r="E25" s="14"/>
      <c r="F25" s="14"/>
    </row>
    <row r="26" customFormat="false" ht="25.5" hidden="false" customHeight="true" outlineLevel="0" collapsed="false">
      <c r="A26" s="14"/>
      <c r="B26" s="14"/>
      <c r="C26" s="14"/>
      <c r="D26" s="14"/>
      <c r="E26" s="14"/>
      <c r="F26" s="14"/>
    </row>
    <row r="27" customFormat="false" ht="25.5" hidden="false" customHeight="true" outlineLevel="0" collapsed="false">
      <c r="A27" s="14"/>
      <c r="B27" s="14"/>
      <c r="C27" s="14"/>
      <c r="D27" s="14"/>
      <c r="E27" s="14"/>
      <c r="F27" s="14"/>
    </row>
    <row r="28" customFormat="false" ht="25.5" hidden="false" customHeight="true" outlineLevel="0" collapsed="false">
      <c r="A28" s="14"/>
      <c r="B28" s="14"/>
      <c r="C28" s="14"/>
      <c r="D28" s="14"/>
      <c r="E28" s="14"/>
      <c r="F28" s="14"/>
    </row>
    <row r="29" customFormat="false" ht="25.5" hidden="false" customHeight="true" outlineLevel="0" collapsed="false">
      <c r="A29" s="14"/>
      <c r="B29" s="14"/>
      <c r="C29" s="14"/>
      <c r="D29" s="14"/>
      <c r="E29" s="14"/>
      <c r="F29" s="14"/>
    </row>
    <row r="31" customFormat="false" ht="15" hidden="false" customHeight="false" outlineLevel="0" collapsed="false">
      <c r="A31" s="15" t="s">
        <v>141</v>
      </c>
      <c r="B31" s="15"/>
      <c r="C31" s="15"/>
      <c r="D31" s="15"/>
      <c r="E31" s="15"/>
      <c r="F31" s="15"/>
    </row>
    <row r="32" customFormat="false" ht="31.5" hidden="false" customHeight="true" outlineLevel="0" collapsed="false">
      <c r="A32" s="8" t="s">
        <v>85</v>
      </c>
      <c r="B32" s="8" t="s">
        <v>142</v>
      </c>
      <c r="C32" s="8" t="s">
        <v>143</v>
      </c>
      <c r="D32" s="8" t="s">
        <v>144</v>
      </c>
      <c r="E32" s="8" t="s">
        <v>145</v>
      </c>
      <c r="F32" s="8" t="s">
        <v>107</v>
      </c>
    </row>
    <row r="33" customFormat="false" ht="57.45" hidden="false" customHeight="false" outlineLevel="0" collapsed="false">
      <c r="A33" s="13" t="s">
        <v>146</v>
      </c>
      <c r="B33" s="13" t="s">
        <v>98</v>
      </c>
      <c r="C33" s="13" t="s">
        <v>147</v>
      </c>
      <c r="D33" s="13" t="s">
        <v>148</v>
      </c>
      <c r="E33" s="13" t="s">
        <v>149</v>
      </c>
      <c r="F33" s="13"/>
    </row>
    <row r="34" customFormat="false" ht="25.5" hidden="false" customHeight="true" outlineLevel="0" collapsed="false">
      <c r="A34" s="14"/>
      <c r="B34" s="14"/>
      <c r="C34" s="14"/>
      <c r="D34" s="14"/>
      <c r="E34" s="14"/>
      <c r="F34" s="14"/>
    </row>
    <row r="35" customFormat="false" ht="25.5" hidden="false" customHeight="true" outlineLevel="0" collapsed="false">
      <c r="A35" s="14"/>
      <c r="B35" s="14"/>
      <c r="C35" s="14"/>
      <c r="D35" s="14"/>
      <c r="E35" s="14"/>
      <c r="F35" s="14"/>
    </row>
    <row r="36" customFormat="false" ht="25.5" hidden="false" customHeight="true" outlineLevel="0" collapsed="false">
      <c r="A36" s="14"/>
      <c r="B36" s="14"/>
      <c r="C36" s="14"/>
      <c r="D36" s="14"/>
      <c r="E36" s="14"/>
      <c r="F36" s="14"/>
    </row>
    <row r="37" customFormat="false" ht="25.5" hidden="false" customHeight="true" outlineLevel="0" collapsed="false">
      <c r="A37" s="14"/>
      <c r="B37" s="14"/>
      <c r="C37" s="14"/>
      <c r="D37" s="14"/>
      <c r="E37" s="14"/>
      <c r="F37" s="14"/>
    </row>
    <row r="38" customFormat="false" ht="25.5" hidden="false" customHeight="true" outlineLevel="0" collapsed="false">
      <c r="A38" s="14"/>
      <c r="B38" s="14"/>
      <c r="C38" s="14"/>
      <c r="D38" s="14"/>
      <c r="E38" s="14"/>
      <c r="F38" s="14"/>
    </row>
    <row r="39" customFormat="false" ht="25.5" hidden="false" customHeight="true" outlineLevel="0" collapsed="false">
      <c r="A39" s="14"/>
      <c r="B39" s="14"/>
      <c r="C39" s="14"/>
      <c r="D39" s="14"/>
      <c r="E39" s="14"/>
      <c r="F39" s="14"/>
    </row>
    <row r="40" customFormat="false" ht="25.5" hidden="false" customHeight="true" outlineLevel="0" collapsed="false">
      <c r="A40" s="14"/>
      <c r="B40" s="14"/>
      <c r="C40" s="14"/>
      <c r="D40" s="14"/>
      <c r="E40" s="14"/>
      <c r="F40" s="14"/>
    </row>
    <row r="41" customFormat="false" ht="25.5" hidden="false" customHeight="true" outlineLevel="0" collapsed="false">
      <c r="A41" s="14"/>
      <c r="B41" s="14"/>
      <c r="C41" s="14"/>
      <c r="D41" s="14"/>
      <c r="E41" s="14"/>
      <c r="F41" s="14"/>
    </row>
    <row r="42" customFormat="false" ht="25.5" hidden="false" customHeight="true" outlineLevel="0" collapsed="false">
      <c r="A42" s="14"/>
      <c r="B42" s="14"/>
      <c r="C42" s="14"/>
      <c r="D42" s="14"/>
      <c r="E42" s="14"/>
      <c r="F42" s="14"/>
    </row>
    <row r="43" customFormat="false" ht="25.5" hidden="false" customHeight="true" outlineLevel="0" collapsed="false">
      <c r="A43" s="14"/>
      <c r="B43" s="14"/>
      <c r="C43" s="14"/>
      <c r="D43" s="14"/>
      <c r="E43" s="14"/>
      <c r="F43" s="14"/>
    </row>
  </sheetData>
  <mergeCells count="5">
    <mergeCell ref="A1:F1"/>
    <mergeCell ref="A2:F2"/>
    <mergeCell ref="A4:F4"/>
    <mergeCell ref="A15:F15"/>
    <mergeCell ref="A31:F31"/>
  </mergeCells>
  <dataValidations count="5">
    <dataValidation allowBlank="true" errorStyle="stop" operator="between" showDropDown="false" showErrorMessage="false" showInputMessage="false" sqref="E6:E13" type="list">
      <formula1>"Meets,Partially Meets,Does Not Meet,Not Sampled"</formula1>
      <formula2>0</formula2>
    </dataValidation>
    <dataValidation allowBlank="true" errorStyle="stop" operator="between" showDropDown="false" showErrorMessage="false" showInputMessage="false" sqref="B17:B29" type="list">
      <formula1>"Consent - Art 6(1)(a),Contract necessity - Art 6(1)(b),Legal obligation - Art 6(1)(c),Vital interests - Art 6(1)(d),Public task - Art 6(1)(e),Legitimate interests - Art 6(1)(f),None identified"</formula1>
      <formula2>0</formula2>
    </dataValidation>
    <dataValidation allowBlank="true" errorStyle="stop" operator="between" showDropDown="false" showErrorMessage="false" showInputMessage="false" sqref="D17:D29" type="list">
      <formula1>"Yes,No,Under Review"</formula1>
      <formula2>0</formula2>
    </dataValidation>
    <dataValidation allowBlank="true" errorStyle="stop" operator="between" showDropDown="false" showErrorMessage="false" showInputMessage="false" sqref="B33:B43" type="list">
      <formula1>"Y,N"</formula1>
      <formula2>0</formula2>
    </dataValidation>
    <dataValidation allowBlank="true" errorStyle="stop" operator="between" showDropDown="false" showErrorMessage="false" showInputMessage="false" sqref="D33:D43" type="list">
      <formula1>"Art 9(2)(a) explicit consent,Art 9(2)(b) employment/social security law,Art 9(2)(c) vital interests,Art 9(2)(d) not-for-profit body members,Art 9(2)(e) manifestly made public,Art 9(2)(f) legal claims,Art 9(2)(g) substantial public interest,Art 9(2)(h) hea"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24"/>
  </cols>
  <sheetData>
    <row r="1" customFormat="false" ht="27.75" hidden="false" customHeight="true" outlineLevel="0" collapsed="false">
      <c r="A1" s="2" t="s">
        <v>150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151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8" t="s">
        <v>102</v>
      </c>
      <c r="B4" s="8" t="s">
        <v>152</v>
      </c>
      <c r="C4" s="8" t="s">
        <v>104</v>
      </c>
      <c r="D4" s="8" t="s">
        <v>153</v>
      </c>
      <c r="E4" s="8" t="s">
        <v>105</v>
      </c>
      <c r="F4" s="8" t="s">
        <v>154</v>
      </c>
      <c r="G4" s="8" t="s">
        <v>155</v>
      </c>
      <c r="H4" s="8" t="s">
        <v>106</v>
      </c>
    </row>
    <row r="5" customFormat="false" ht="46.25" hidden="false" customHeight="false" outlineLevel="0" collapsed="false">
      <c r="A5" s="13" t="s">
        <v>156</v>
      </c>
      <c r="B5" s="13" t="s">
        <v>157</v>
      </c>
      <c r="C5" s="13" t="s">
        <v>158</v>
      </c>
      <c r="D5" s="13" t="s">
        <v>98</v>
      </c>
      <c r="E5" s="13" t="s">
        <v>159</v>
      </c>
      <c r="F5" s="13" t="n">
        <v>21</v>
      </c>
      <c r="G5" s="13" t="s">
        <v>98</v>
      </c>
      <c r="H5" s="13" t="s">
        <v>112</v>
      </c>
    </row>
    <row r="6" customFormat="false" ht="39.75" hidden="false" customHeight="true" outlineLevel="0" collapsed="false">
      <c r="A6" s="16" t="s">
        <v>160</v>
      </c>
      <c r="B6" s="16" t="s">
        <v>161</v>
      </c>
      <c r="C6" s="16" t="s">
        <v>162</v>
      </c>
      <c r="D6" s="16"/>
      <c r="E6" s="16"/>
      <c r="F6" s="16"/>
      <c r="G6" s="16"/>
      <c r="H6" s="16"/>
    </row>
    <row r="7" customFormat="false" ht="39.75" hidden="false" customHeight="true" outlineLevel="0" collapsed="false">
      <c r="A7" s="16" t="s">
        <v>163</v>
      </c>
      <c r="B7" s="16" t="s">
        <v>164</v>
      </c>
      <c r="C7" s="16" t="s">
        <v>165</v>
      </c>
      <c r="D7" s="16"/>
      <c r="E7" s="16"/>
      <c r="F7" s="16"/>
      <c r="G7" s="16"/>
      <c r="H7" s="16"/>
    </row>
    <row r="8" customFormat="false" ht="39.75" hidden="false" customHeight="true" outlineLevel="0" collapsed="false">
      <c r="A8" s="16" t="s">
        <v>166</v>
      </c>
      <c r="B8" s="16" t="s">
        <v>167</v>
      </c>
      <c r="C8" s="16" t="s">
        <v>168</v>
      </c>
      <c r="D8" s="16"/>
      <c r="E8" s="16"/>
      <c r="F8" s="16"/>
      <c r="G8" s="16"/>
      <c r="H8" s="16"/>
    </row>
    <row r="9" customFormat="false" ht="39.75" hidden="false" customHeight="true" outlineLevel="0" collapsed="false">
      <c r="A9" s="16" t="s">
        <v>156</v>
      </c>
      <c r="B9" s="16" t="s">
        <v>157</v>
      </c>
      <c r="C9" s="16" t="s">
        <v>169</v>
      </c>
      <c r="D9" s="16"/>
      <c r="E9" s="16"/>
      <c r="F9" s="16"/>
      <c r="G9" s="16"/>
      <c r="H9" s="16"/>
    </row>
    <row r="10" customFormat="false" ht="39.75" hidden="false" customHeight="true" outlineLevel="0" collapsed="false">
      <c r="A10" s="16" t="s">
        <v>170</v>
      </c>
      <c r="B10" s="16" t="s">
        <v>171</v>
      </c>
      <c r="C10" s="16" t="s">
        <v>172</v>
      </c>
      <c r="D10" s="16"/>
      <c r="E10" s="16"/>
      <c r="F10" s="16"/>
      <c r="G10" s="16"/>
      <c r="H10" s="16"/>
    </row>
    <row r="11" customFormat="false" ht="39.75" hidden="false" customHeight="true" outlineLevel="0" collapsed="false">
      <c r="A11" s="16" t="s">
        <v>173</v>
      </c>
      <c r="B11" s="16" t="s">
        <v>174</v>
      </c>
      <c r="C11" s="16" t="s">
        <v>175</v>
      </c>
      <c r="D11" s="16"/>
      <c r="E11" s="16"/>
      <c r="F11" s="16"/>
      <c r="G11" s="16"/>
      <c r="H11" s="16"/>
    </row>
    <row r="12" customFormat="false" ht="39.75" hidden="false" customHeight="true" outlineLevel="0" collapsed="false">
      <c r="A12" s="16" t="s">
        <v>176</v>
      </c>
      <c r="B12" s="16" t="s">
        <v>177</v>
      </c>
      <c r="C12" s="16" t="s">
        <v>178</v>
      </c>
      <c r="D12" s="16"/>
      <c r="E12" s="16"/>
      <c r="F12" s="16"/>
      <c r="G12" s="16"/>
      <c r="H12" s="16"/>
    </row>
    <row r="13" customFormat="false" ht="39.75" hidden="false" customHeight="true" outlineLevel="0" collapsed="false">
      <c r="A13" s="16" t="s">
        <v>179</v>
      </c>
      <c r="B13" s="16" t="s">
        <v>180</v>
      </c>
      <c r="C13" s="16" t="s">
        <v>181</v>
      </c>
      <c r="D13" s="16"/>
      <c r="E13" s="16"/>
      <c r="F13" s="16"/>
      <c r="G13" s="16"/>
      <c r="H13" s="16"/>
    </row>
    <row r="14" customFormat="false" ht="39.75" hidden="false" customHeight="true" outlineLevel="0" collapsed="false">
      <c r="A14" s="16" t="s">
        <v>182</v>
      </c>
      <c r="B14" s="16" t="s">
        <v>183</v>
      </c>
      <c r="C14" s="16" t="s">
        <v>184</v>
      </c>
      <c r="D14" s="16"/>
      <c r="E14" s="16"/>
      <c r="F14" s="16"/>
      <c r="G14" s="16"/>
      <c r="H14" s="16"/>
    </row>
    <row r="15" customFormat="false" ht="39.75" hidden="false" customHeight="true" outlineLevel="0" collapsed="false">
      <c r="A15" s="16" t="s">
        <v>185</v>
      </c>
      <c r="B15" s="16" t="s">
        <v>186</v>
      </c>
      <c r="C15" s="16" t="s">
        <v>187</v>
      </c>
      <c r="D15" s="16"/>
      <c r="E15" s="16"/>
      <c r="F15" s="16"/>
      <c r="G15" s="16"/>
      <c r="H15" s="16"/>
    </row>
    <row r="16" customFormat="false" ht="39.75" hidden="false" customHeight="true" outlineLevel="0" collapsed="false">
      <c r="A16" s="16" t="s">
        <v>188</v>
      </c>
      <c r="B16" s="16" t="s">
        <v>189</v>
      </c>
      <c r="C16" s="16" t="s">
        <v>190</v>
      </c>
      <c r="D16" s="16"/>
      <c r="E16" s="16"/>
      <c r="F16" s="16"/>
      <c r="G16" s="16"/>
      <c r="H16" s="16"/>
    </row>
    <row r="17" customFormat="false" ht="39.75" hidden="false" customHeight="true" outlineLevel="0" collapsed="false">
      <c r="A17" s="16" t="s">
        <v>191</v>
      </c>
      <c r="B17" s="16" t="s">
        <v>192</v>
      </c>
      <c r="C17" s="16" t="s">
        <v>193</v>
      </c>
      <c r="D17" s="16"/>
      <c r="E17" s="16"/>
      <c r="F17" s="16"/>
      <c r="G17" s="16"/>
      <c r="H17" s="16"/>
    </row>
  </sheetData>
  <mergeCells count="2">
    <mergeCell ref="A1:H1"/>
    <mergeCell ref="A2:H2"/>
  </mergeCells>
  <dataValidations count="3">
    <dataValidation allowBlank="true" errorStyle="stop" operator="between" showDropDown="false" showErrorMessage="false" showInputMessage="false" sqref="D5:D17" type="list">
      <formula1>"Y,N,Partial"</formula1>
      <formula2>0</formula2>
    </dataValidation>
    <dataValidation allowBlank="true" errorStyle="stop" operator="between" showDropDown="false" showErrorMessage="false" showInputMessage="false" sqref="G5:G17" type="list">
      <formula1>"Y,N,N/A"</formula1>
      <formula2>0</formula2>
    </dataValidation>
    <dataValidation allowBlank="true" errorStyle="stop" operator="between" showDropDown="false" showErrorMessage="false" showInputMessage="false" sqref="H5:H17" type="list">
      <formula1>"Meets,Partially Meets,Does Not Meet,Not Sampled"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46"/>
  </cols>
  <sheetData>
    <row r="1" customFormat="false" ht="27.75" hidden="false" customHeight="true" outlineLevel="0" collapsed="false">
      <c r="A1" s="2" t="s">
        <v>194</v>
      </c>
      <c r="B1" s="2"/>
      <c r="C1" s="2"/>
      <c r="D1" s="2"/>
    </row>
    <row r="2" customFormat="false" ht="18" hidden="false" customHeight="true" outlineLevel="0" collapsed="false">
      <c r="A2" s="3" t="s">
        <v>195</v>
      </c>
      <c r="B2" s="3"/>
      <c r="C2" s="3"/>
      <c r="D2" s="3"/>
    </row>
    <row r="4" customFormat="false" ht="15" hidden="false" customHeight="false" outlineLevel="0" collapsed="false">
      <c r="A4" s="15" t="s">
        <v>196</v>
      </c>
      <c r="B4" s="15"/>
      <c r="C4" s="15"/>
      <c r="D4" s="15"/>
    </row>
    <row r="5" customFormat="false" ht="15" hidden="false" customHeight="false" outlineLevel="0" collapsed="false">
      <c r="A5" s="17" t="s">
        <v>197</v>
      </c>
      <c r="B5" s="18" t="s">
        <v>198</v>
      </c>
      <c r="C5" s="18"/>
      <c r="D5" s="18"/>
    </row>
    <row r="7" customFormat="false" ht="31.5" hidden="false" customHeight="true" outlineLevel="0" collapsed="false">
      <c r="A7" s="8" t="s">
        <v>56</v>
      </c>
      <c r="B7" s="8" t="s">
        <v>199</v>
      </c>
      <c r="C7" s="8" t="s">
        <v>200</v>
      </c>
      <c r="D7" s="8" t="s">
        <v>107</v>
      </c>
    </row>
    <row r="8" customFormat="false" ht="30" hidden="false" customHeight="true" outlineLevel="0" collapsed="false">
      <c r="A8" s="16" t="s">
        <v>201</v>
      </c>
      <c r="B8" s="16" t="s">
        <v>202</v>
      </c>
      <c r="C8" s="16" t="s">
        <v>98</v>
      </c>
      <c r="D8" s="16"/>
    </row>
    <row r="9" customFormat="false" ht="30" hidden="false" customHeight="true" outlineLevel="0" collapsed="false">
      <c r="A9" s="16" t="s">
        <v>203</v>
      </c>
      <c r="B9" s="16" t="s">
        <v>204</v>
      </c>
      <c r="C9" s="16" t="s">
        <v>98</v>
      </c>
      <c r="D9" s="16"/>
    </row>
    <row r="10" customFormat="false" ht="30" hidden="false" customHeight="true" outlineLevel="0" collapsed="false">
      <c r="A10" s="16" t="s">
        <v>205</v>
      </c>
      <c r="B10" s="16" t="s">
        <v>206</v>
      </c>
      <c r="C10" s="16" t="s">
        <v>207</v>
      </c>
      <c r="D10" s="16"/>
    </row>
    <row r="11" customFormat="false" ht="30" hidden="false" customHeight="true" outlineLevel="0" collapsed="false">
      <c r="A11" s="16" t="s">
        <v>208</v>
      </c>
      <c r="B11" s="16" t="s">
        <v>209</v>
      </c>
      <c r="C11" s="16" t="s">
        <v>98</v>
      </c>
      <c r="D11" s="16"/>
    </row>
    <row r="12" customFormat="false" ht="30" hidden="false" customHeight="true" outlineLevel="0" collapsed="false">
      <c r="A12" s="16" t="s">
        <v>210</v>
      </c>
      <c r="B12" s="16" t="s">
        <v>211</v>
      </c>
      <c r="C12" s="16" t="s">
        <v>207</v>
      </c>
      <c r="D12" s="16"/>
    </row>
    <row r="13" customFormat="false" ht="30" hidden="false" customHeight="true" outlineLevel="0" collapsed="false">
      <c r="A13" s="16" t="s">
        <v>212</v>
      </c>
      <c r="B13" s="16" t="s">
        <v>213</v>
      </c>
      <c r="C13" s="16" t="s">
        <v>207</v>
      </c>
      <c r="D13" s="16"/>
    </row>
    <row r="14" customFormat="false" ht="30" hidden="false" customHeight="true" outlineLevel="0" collapsed="false">
      <c r="A14" s="16" t="s">
        <v>214</v>
      </c>
      <c r="B14" s="16" t="s">
        <v>215</v>
      </c>
      <c r="C14" s="16" t="s">
        <v>98</v>
      </c>
      <c r="D14" s="16"/>
    </row>
    <row r="15" customFormat="false" ht="30" hidden="false" customHeight="true" outlineLevel="0" collapsed="false">
      <c r="A15" s="16" t="s">
        <v>216</v>
      </c>
      <c r="B15" s="16" t="s">
        <v>217</v>
      </c>
      <c r="C15" s="16" t="s">
        <v>207</v>
      </c>
      <c r="D15" s="16"/>
    </row>
    <row r="16" customFormat="false" ht="30" hidden="false" customHeight="true" outlineLevel="0" collapsed="false">
      <c r="A16" s="16" t="s">
        <v>218</v>
      </c>
      <c r="B16" s="16" t="s">
        <v>219</v>
      </c>
      <c r="C16" s="16" t="s">
        <v>207</v>
      </c>
      <c r="D16" s="16"/>
    </row>
    <row r="17" customFormat="false" ht="30" hidden="false" customHeight="true" outlineLevel="0" collapsed="false">
      <c r="A17" s="16" t="s">
        <v>220</v>
      </c>
      <c r="B17" s="16" t="s">
        <v>221</v>
      </c>
      <c r="C17" s="16" t="s">
        <v>207</v>
      </c>
      <c r="D17" s="16"/>
    </row>
    <row r="18" customFormat="false" ht="30" hidden="false" customHeight="true" outlineLevel="0" collapsed="false">
      <c r="A18" s="16" t="s">
        <v>222</v>
      </c>
      <c r="B18" s="16" t="s">
        <v>223</v>
      </c>
      <c r="C18" s="16" t="s">
        <v>207</v>
      </c>
      <c r="D18" s="16"/>
    </row>
    <row r="19" customFormat="false" ht="30" hidden="false" customHeight="true" outlineLevel="0" collapsed="false">
      <c r="A19" s="16" t="s">
        <v>224</v>
      </c>
      <c r="B19" s="16" t="s">
        <v>225</v>
      </c>
      <c r="C19" s="16" t="s">
        <v>207</v>
      </c>
      <c r="D19" s="16"/>
    </row>
    <row r="20" customFormat="false" ht="33.75" hidden="false" customHeight="true" outlineLevel="0" collapsed="false">
      <c r="A20" s="19" t="s">
        <v>226</v>
      </c>
      <c r="B20" s="19"/>
      <c r="C20" s="20" t="str">
        <f aca="false">IF(COUNTIF(C8:C19,"Y")&gt;0,"YES - "&amp;COUNTIF(C8:C19,"Y")&amp;" trigger(s) checked - a DPIA must be carried out before processing begins","No trigger identified - document this screening as the rationale for not conducting a DPIA")</f>
        <v>YES - 4 trigger(s) checked - a DPIA must be carried out before processing begins</v>
      </c>
      <c r="D20" s="20"/>
    </row>
    <row r="22" customFormat="false" ht="15" hidden="false" customHeight="false" outlineLevel="0" collapsed="false">
      <c r="A22" s="15" t="s">
        <v>227</v>
      </c>
      <c r="B22" s="15"/>
      <c r="C22" s="15"/>
      <c r="D22" s="15"/>
    </row>
    <row r="23" customFormat="false" ht="31.5" hidden="false" customHeight="true" outlineLevel="0" collapsed="false">
      <c r="A23" s="8" t="s">
        <v>228</v>
      </c>
      <c r="B23" s="8" t="s">
        <v>229</v>
      </c>
      <c r="C23" s="8" t="s">
        <v>230</v>
      </c>
      <c r="D23" s="8" t="s">
        <v>231</v>
      </c>
    </row>
    <row r="24" customFormat="false" ht="46.25" hidden="false" customHeight="false" outlineLevel="0" collapsed="false">
      <c r="A24" s="13" t="s">
        <v>232</v>
      </c>
      <c r="B24" s="13" t="s">
        <v>233</v>
      </c>
      <c r="C24" s="13" t="s">
        <v>234</v>
      </c>
      <c r="D24" s="13" t="s">
        <v>235</v>
      </c>
    </row>
    <row r="25" customFormat="false" ht="30" hidden="false" customHeight="true" outlineLevel="0" collapsed="false">
      <c r="A25" s="14"/>
      <c r="B25" s="14"/>
      <c r="C25" s="14"/>
      <c r="D25" s="14"/>
    </row>
    <row r="26" customFormat="false" ht="30" hidden="false" customHeight="true" outlineLevel="0" collapsed="false">
      <c r="A26" s="14"/>
      <c r="B26" s="14"/>
      <c r="C26" s="14"/>
      <c r="D26" s="14"/>
    </row>
    <row r="27" customFormat="false" ht="30" hidden="false" customHeight="true" outlineLevel="0" collapsed="false">
      <c r="A27" s="14"/>
      <c r="B27" s="14"/>
      <c r="C27" s="14"/>
      <c r="D27" s="14"/>
    </row>
    <row r="28" customFormat="false" ht="30" hidden="false" customHeight="true" outlineLevel="0" collapsed="false">
      <c r="A28" s="14"/>
      <c r="B28" s="14"/>
      <c r="C28" s="14"/>
      <c r="D28" s="14"/>
    </row>
    <row r="29" customFormat="false" ht="30" hidden="false" customHeight="true" outlineLevel="0" collapsed="false">
      <c r="A29" s="14"/>
      <c r="B29" s="14"/>
      <c r="C29" s="14"/>
      <c r="D29" s="14"/>
    </row>
    <row r="30" customFormat="false" ht="30" hidden="false" customHeight="true" outlineLevel="0" collapsed="false">
      <c r="A30" s="14"/>
      <c r="B30" s="14"/>
      <c r="C30" s="14"/>
      <c r="D30" s="14"/>
    </row>
    <row r="31" customFormat="false" ht="30" hidden="false" customHeight="true" outlineLevel="0" collapsed="false">
      <c r="A31" s="14"/>
      <c r="B31" s="14"/>
      <c r="C31" s="14"/>
      <c r="D31" s="14"/>
    </row>
    <row r="32" customFormat="false" ht="30" hidden="false" customHeight="true" outlineLevel="0" collapsed="false">
      <c r="A32" s="14"/>
      <c r="B32" s="14"/>
      <c r="C32" s="14"/>
      <c r="D32" s="14"/>
    </row>
    <row r="33" customFormat="false" ht="30" hidden="false" customHeight="true" outlineLevel="0" collapsed="false">
      <c r="A33" s="14"/>
      <c r="B33" s="14"/>
      <c r="C33" s="14"/>
      <c r="D33" s="14"/>
    </row>
    <row r="34" customFormat="false" ht="30" hidden="false" customHeight="true" outlineLevel="0" collapsed="false">
      <c r="A34" s="14"/>
      <c r="B34" s="14"/>
      <c r="C34" s="14"/>
      <c r="D34" s="14"/>
    </row>
  </sheetData>
  <mergeCells count="7">
    <mergeCell ref="A1:D1"/>
    <mergeCell ref="A2:D2"/>
    <mergeCell ref="A4:D4"/>
    <mergeCell ref="B5:D5"/>
    <mergeCell ref="A20:B20"/>
    <mergeCell ref="C20:D20"/>
    <mergeCell ref="A22:D22"/>
  </mergeCells>
  <dataValidations count="2">
    <dataValidation allowBlank="true" errorStyle="stop" operator="between" showDropDown="false" showErrorMessage="false" showInputMessage="false" sqref="C8:C19" type="list">
      <formula1>"Y,N"</formula1>
      <formula2>0</formula2>
    </dataValidation>
    <dataValidation allowBlank="true" errorStyle="stop" operator="between" showDropDown="false" showErrorMessage="false" showInputMessage="false" sqref="C24:C34" type="list">
      <formula1>"Proceed,Proceed with mitigations,Do not proceed,Art 36 prior consultation required,In progress"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4" min="3" style="1" width="22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26"/>
    <col collapsed="false" customWidth="true" hidden="false" outlineLevel="0" max="9" min="9" style="1" width="16"/>
  </cols>
  <sheetData>
    <row r="1" customFormat="false" ht="27.75" hidden="false" customHeight="true" outlineLevel="0" collapsed="false">
      <c r="A1" s="2" t="s">
        <v>236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237</v>
      </c>
      <c r="B2" s="3"/>
      <c r="C2" s="3"/>
      <c r="D2" s="3"/>
      <c r="E2" s="3"/>
      <c r="F2" s="3"/>
      <c r="G2" s="3"/>
      <c r="H2" s="3"/>
      <c r="I2" s="3"/>
    </row>
    <row r="4" customFormat="false" ht="31.5" hidden="false" customHeight="true" outlineLevel="0" collapsed="false">
      <c r="A4" s="8" t="s">
        <v>238</v>
      </c>
      <c r="B4" s="8" t="s">
        <v>239</v>
      </c>
      <c r="C4" s="8" t="s">
        <v>240</v>
      </c>
      <c r="D4" s="8" t="s">
        <v>241</v>
      </c>
      <c r="E4" s="8" t="s">
        <v>242</v>
      </c>
      <c r="F4" s="8" t="s">
        <v>243</v>
      </c>
      <c r="G4" s="8" t="s">
        <v>244</v>
      </c>
      <c r="H4" s="8" t="s">
        <v>245</v>
      </c>
      <c r="I4" s="8" t="s">
        <v>246</v>
      </c>
    </row>
    <row r="5" customFormat="false" ht="46.25" hidden="false" customHeight="false" outlineLevel="0" collapsed="false">
      <c r="A5" s="13" t="s">
        <v>247</v>
      </c>
      <c r="B5" s="13" t="s">
        <v>248</v>
      </c>
      <c r="C5" s="13" t="s">
        <v>249</v>
      </c>
      <c r="D5" s="13" t="s">
        <v>250</v>
      </c>
      <c r="E5" s="13" t="s">
        <v>251</v>
      </c>
      <c r="F5" s="13" t="s">
        <v>252</v>
      </c>
      <c r="G5" s="13" t="s">
        <v>253</v>
      </c>
      <c r="H5" s="13" t="s">
        <v>254</v>
      </c>
      <c r="I5" s="13" t="s">
        <v>255</v>
      </c>
    </row>
    <row r="6" customFormat="false" ht="31.5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</row>
    <row r="7" customFormat="false" ht="31.5" hidden="false" customHeight="true" outlineLevel="0" collapsed="false">
      <c r="A7" s="14"/>
      <c r="B7" s="14"/>
      <c r="C7" s="14"/>
      <c r="D7" s="14"/>
      <c r="E7" s="14"/>
      <c r="F7" s="14"/>
      <c r="G7" s="14"/>
      <c r="H7" s="14"/>
      <c r="I7" s="14"/>
    </row>
    <row r="8" customFormat="false" ht="31.5" hidden="false" customHeight="true" outlineLevel="0" collapsed="false">
      <c r="A8" s="14"/>
      <c r="B8" s="14"/>
      <c r="C8" s="14"/>
      <c r="D8" s="14"/>
      <c r="E8" s="14"/>
      <c r="F8" s="14"/>
      <c r="G8" s="14"/>
      <c r="H8" s="14"/>
      <c r="I8" s="14"/>
    </row>
    <row r="9" customFormat="false" ht="31.5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</row>
    <row r="10" customFormat="false" ht="31.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</row>
    <row r="11" customFormat="false" ht="31.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</row>
    <row r="12" customFormat="false" ht="31.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  <c r="I12" s="14"/>
    </row>
    <row r="13" customFormat="false" ht="31.5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</row>
    <row r="14" customFormat="false" ht="31.5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</row>
    <row r="15" customFormat="false" ht="31.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</row>
    <row r="16" customFormat="false" ht="31.5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  <c r="I16" s="14"/>
    </row>
    <row r="17" customFormat="false" ht="31.5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</row>
    <row r="18" customFormat="false" ht="31.5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</row>
    <row r="19" customFormat="false" ht="31.5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14"/>
    </row>
    <row r="20" customFormat="false" ht="31.5" hidden="false" customHeight="true" outlineLevel="0" collapsed="false">
      <c r="A20" s="14"/>
      <c r="B20" s="14"/>
      <c r="C20" s="14"/>
      <c r="D20" s="14"/>
      <c r="E20" s="14"/>
      <c r="F20" s="14"/>
      <c r="G20" s="14"/>
      <c r="H20" s="14"/>
      <c r="I20" s="14"/>
    </row>
    <row r="21" customFormat="false" ht="31.5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</row>
    <row r="22" customFormat="false" ht="31.5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  <c r="I22" s="14"/>
    </row>
    <row r="23" customFormat="false" ht="31.5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</row>
    <row r="24" customFormat="false" ht="31.5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</row>
    <row r="25" customFormat="false" ht="31.5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3" min="3" style="1" width="24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16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2" t="s">
        <v>256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257</v>
      </c>
      <c r="B2" s="3"/>
      <c r="C2" s="3"/>
      <c r="D2" s="3"/>
      <c r="E2" s="3"/>
      <c r="F2" s="3"/>
      <c r="G2" s="3"/>
      <c r="H2" s="3"/>
      <c r="I2" s="3"/>
    </row>
    <row r="4" customFormat="false" ht="31.5" hidden="false" customHeight="true" outlineLevel="0" collapsed="false">
      <c r="A4" s="8" t="s">
        <v>258</v>
      </c>
      <c r="B4" s="8" t="s">
        <v>259</v>
      </c>
      <c r="C4" s="8" t="s">
        <v>260</v>
      </c>
      <c r="D4" s="8" t="s">
        <v>261</v>
      </c>
      <c r="E4" s="8" t="s">
        <v>262</v>
      </c>
      <c r="F4" s="8" t="s">
        <v>263</v>
      </c>
      <c r="G4" s="8" t="s">
        <v>264</v>
      </c>
      <c r="H4" s="8" t="s">
        <v>265</v>
      </c>
      <c r="I4" s="8" t="s">
        <v>266</v>
      </c>
    </row>
    <row r="5" customFormat="false" ht="35.05" hidden="false" customHeight="false" outlineLevel="0" collapsed="false">
      <c r="A5" s="13" t="s">
        <v>267</v>
      </c>
      <c r="B5" s="13" t="s">
        <v>268</v>
      </c>
      <c r="C5" s="13" t="s">
        <v>269</v>
      </c>
      <c r="D5" s="13" t="s">
        <v>98</v>
      </c>
      <c r="E5" s="13" t="s">
        <v>270</v>
      </c>
      <c r="F5" s="13" t="s">
        <v>98</v>
      </c>
      <c r="G5" s="13" t="s">
        <v>271</v>
      </c>
      <c r="H5" s="13" t="s">
        <v>272</v>
      </c>
      <c r="I5" s="13" t="s">
        <v>273</v>
      </c>
    </row>
    <row r="6" customFormat="false" ht="25.5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</row>
    <row r="7" customFormat="false" ht="25.5" hidden="false" customHeight="true" outlineLevel="0" collapsed="false">
      <c r="A7" s="14"/>
      <c r="B7" s="14"/>
      <c r="C7" s="14"/>
      <c r="D7" s="14"/>
      <c r="E7" s="14"/>
      <c r="F7" s="14"/>
      <c r="G7" s="14"/>
      <c r="H7" s="14"/>
      <c r="I7" s="14"/>
    </row>
    <row r="8" customFormat="false" ht="25.5" hidden="false" customHeight="true" outlineLevel="0" collapsed="false">
      <c r="A8" s="14"/>
      <c r="B8" s="14"/>
      <c r="C8" s="14"/>
      <c r="D8" s="14"/>
      <c r="E8" s="14"/>
      <c r="F8" s="14"/>
      <c r="G8" s="14"/>
      <c r="H8" s="14"/>
      <c r="I8" s="14"/>
    </row>
    <row r="9" customFormat="false" ht="25.5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</row>
    <row r="10" customFormat="false" ht="25.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</row>
    <row r="11" customFormat="false" ht="25.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</row>
    <row r="12" customFormat="false" ht="25.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  <c r="I12" s="14"/>
    </row>
    <row r="13" customFormat="false" ht="25.5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</row>
    <row r="14" customFormat="false" ht="25.5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</row>
    <row r="15" customFormat="false" ht="25.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</row>
    <row r="16" customFormat="false" ht="25.5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  <c r="I16" s="14"/>
    </row>
    <row r="17" customFormat="false" ht="25.5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</row>
    <row r="18" customFormat="false" ht="25.5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</row>
    <row r="19" customFormat="false" ht="25.5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14"/>
    </row>
    <row r="20" customFormat="false" ht="25.5" hidden="false" customHeight="true" outlineLevel="0" collapsed="false">
      <c r="A20" s="14"/>
      <c r="B20" s="14"/>
      <c r="C20" s="14"/>
      <c r="D20" s="14"/>
      <c r="E20" s="14"/>
      <c r="F20" s="14"/>
      <c r="G20" s="14"/>
      <c r="H20" s="14"/>
      <c r="I20" s="14"/>
    </row>
    <row r="21" customFormat="false" ht="25.5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</row>
    <row r="22" customFormat="false" ht="25.5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  <c r="I22" s="14"/>
    </row>
    <row r="23" customFormat="false" ht="25.5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</row>
  </sheetData>
  <mergeCells count="2">
    <mergeCell ref="A1:I1"/>
    <mergeCell ref="A2:I2"/>
  </mergeCells>
  <dataValidations count="3">
    <dataValidation allowBlank="true" errorStyle="stop" operator="between" showDropDown="false" showErrorMessage="false" showInputMessage="false" sqref="D5:D23" type="list">
      <formula1>"Y,N,In Progress"</formula1>
      <formula2>0</formula2>
    </dataValidation>
    <dataValidation allowBlank="true" errorStyle="stop" operator="between" showDropDown="false" showErrorMessage="false" showInputMessage="false" sqref="F5:F23" type="list">
      <formula1>"Y,N,N/A - No Sub-Processors"</formula1>
      <formula2>0</formula2>
    </dataValidation>
    <dataValidation allowBlank="true" errorStyle="stop" operator="between" showDropDown="false" showErrorMessage="false" showInputMessage="false" sqref="H5:H23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6"/>
    <col collapsed="false" customWidth="true" hidden="false" outlineLevel="0" max="4" min="4" style="1" width="30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30"/>
    <col collapsed="false" customWidth="true" hidden="false" outlineLevel="0" max="13" min="13" style="1" width="14"/>
  </cols>
  <sheetData>
    <row r="1" customFormat="false" ht="27.75" hidden="false" customHeight="true" outlineLevel="0" collapsed="false">
      <c r="A1" s="2" t="s">
        <v>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8" hidden="false" customHeight="true" outlineLevel="0" collapsed="false">
      <c r="A2" s="3" t="s">
        <v>275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31.5" hidden="false" customHeight="true" outlineLevel="0" collapsed="false">
      <c r="A4" s="8" t="s">
        <v>276</v>
      </c>
      <c r="B4" s="8" t="s">
        <v>277</v>
      </c>
      <c r="C4" s="8" t="s">
        <v>278</v>
      </c>
      <c r="D4" s="8" t="s">
        <v>199</v>
      </c>
      <c r="E4" s="8" t="s">
        <v>279</v>
      </c>
      <c r="F4" s="8" t="s">
        <v>280</v>
      </c>
      <c r="G4" s="8" t="s">
        <v>281</v>
      </c>
      <c r="H4" s="8" t="s">
        <v>282</v>
      </c>
      <c r="I4" s="8" t="s">
        <v>283</v>
      </c>
      <c r="J4" s="8" t="s">
        <v>284</v>
      </c>
      <c r="K4" s="8" t="s">
        <v>285</v>
      </c>
      <c r="L4" s="8" t="s">
        <v>286</v>
      </c>
      <c r="M4" s="8" t="s">
        <v>287</v>
      </c>
    </row>
    <row r="5" customFormat="false" ht="35.05" hidden="false" customHeight="false" outlineLevel="0" collapsed="false">
      <c r="A5" s="13" t="s">
        <v>288</v>
      </c>
      <c r="B5" s="13" t="s">
        <v>289</v>
      </c>
      <c r="C5" s="13" t="s">
        <v>290</v>
      </c>
      <c r="D5" s="13" t="s">
        <v>291</v>
      </c>
      <c r="E5" s="13" t="s">
        <v>292</v>
      </c>
      <c r="F5" s="13" t="n">
        <v>4200</v>
      </c>
      <c r="G5" s="13" t="s">
        <v>98</v>
      </c>
      <c r="H5" s="13" t="s">
        <v>98</v>
      </c>
      <c r="I5" s="21" t="n">
        <f aca="false">IF(B5="","",B5+3)</f>
        <v>46208</v>
      </c>
      <c r="J5" s="13" t="s">
        <v>293</v>
      </c>
      <c r="K5" s="13" t="s">
        <v>98</v>
      </c>
      <c r="L5" s="13" t="s">
        <v>294</v>
      </c>
      <c r="M5" s="13" t="s">
        <v>295</v>
      </c>
    </row>
    <row r="6" customFormat="false" ht="25.5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22" t="str">
        <f aca="false">IF(B6="","",B6+3)</f>
        <v/>
      </c>
      <c r="J6" s="14"/>
      <c r="K6" s="14"/>
      <c r="L6" s="14"/>
      <c r="M6" s="14"/>
    </row>
    <row r="7" customFormat="false" ht="25.5" hidden="false" customHeight="true" outlineLevel="0" collapsed="false">
      <c r="A7" s="14"/>
      <c r="B7" s="14"/>
      <c r="C7" s="14"/>
      <c r="D7" s="14"/>
      <c r="E7" s="14"/>
      <c r="F7" s="14"/>
      <c r="G7" s="14"/>
      <c r="H7" s="14"/>
      <c r="I7" s="22" t="str">
        <f aca="false">IF(B7="","",B7+3)</f>
        <v/>
      </c>
      <c r="J7" s="14"/>
      <c r="K7" s="14"/>
      <c r="L7" s="14"/>
      <c r="M7" s="14"/>
    </row>
    <row r="8" customFormat="false" ht="25.5" hidden="false" customHeight="true" outlineLevel="0" collapsed="false">
      <c r="A8" s="14"/>
      <c r="B8" s="14"/>
      <c r="C8" s="14"/>
      <c r="D8" s="14"/>
      <c r="E8" s="14"/>
      <c r="F8" s="14"/>
      <c r="G8" s="14"/>
      <c r="H8" s="14"/>
      <c r="I8" s="22" t="str">
        <f aca="false">IF(B8="","",B8+3)</f>
        <v/>
      </c>
      <c r="J8" s="14"/>
      <c r="K8" s="14"/>
      <c r="L8" s="14"/>
      <c r="M8" s="14"/>
    </row>
    <row r="9" customFormat="false" ht="25.5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22" t="str">
        <f aca="false">IF(B9="","",B9+3)</f>
        <v/>
      </c>
      <c r="J9" s="14"/>
      <c r="K9" s="14"/>
      <c r="L9" s="14"/>
      <c r="M9" s="14"/>
    </row>
    <row r="10" customFormat="false" ht="25.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22" t="str">
        <f aca="false">IF(B10="","",B10+3)</f>
        <v/>
      </c>
      <c r="J10" s="14"/>
      <c r="K10" s="14"/>
      <c r="L10" s="14"/>
      <c r="M10" s="14"/>
    </row>
    <row r="11" customFormat="false" ht="25.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22" t="str">
        <f aca="false">IF(B11="","",B11+3)</f>
        <v/>
      </c>
      <c r="J11" s="14"/>
      <c r="K11" s="14"/>
      <c r="L11" s="14"/>
      <c r="M11" s="14"/>
    </row>
    <row r="12" customFormat="false" ht="25.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  <c r="I12" s="22" t="str">
        <f aca="false">IF(B12="","",B12+3)</f>
        <v/>
      </c>
      <c r="J12" s="14"/>
      <c r="K12" s="14"/>
      <c r="L12" s="14"/>
      <c r="M12" s="14"/>
    </row>
    <row r="13" customFormat="false" ht="25.5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22" t="str">
        <f aca="false">IF(B13="","",B13+3)</f>
        <v/>
      </c>
      <c r="J13" s="14"/>
      <c r="K13" s="14"/>
      <c r="L13" s="14"/>
      <c r="M13" s="14"/>
    </row>
    <row r="14" customFormat="false" ht="25.5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22" t="str">
        <f aca="false">IF(B14="","",B14+3)</f>
        <v/>
      </c>
      <c r="J14" s="14"/>
      <c r="K14" s="14"/>
      <c r="L14" s="14"/>
      <c r="M14" s="14"/>
    </row>
    <row r="15" customFormat="false" ht="25.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22" t="str">
        <f aca="false">IF(B15="","",B15+3)</f>
        <v/>
      </c>
      <c r="J15" s="14"/>
      <c r="K15" s="14"/>
      <c r="L15" s="14"/>
      <c r="M15" s="14"/>
    </row>
    <row r="16" customFormat="false" ht="25.5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  <c r="I16" s="22" t="str">
        <f aca="false">IF(B16="","",B16+3)</f>
        <v/>
      </c>
      <c r="J16" s="14"/>
      <c r="K16" s="14"/>
      <c r="L16" s="14"/>
      <c r="M16" s="14"/>
    </row>
    <row r="17" customFormat="false" ht="25.5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22" t="str">
        <f aca="false">IF(B17="","",B17+3)</f>
        <v/>
      </c>
      <c r="J17" s="14"/>
      <c r="K17" s="14"/>
      <c r="L17" s="14"/>
      <c r="M17" s="14"/>
    </row>
    <row r="18" customFormat="false" ht="25.5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22" t="str">
        <f aca="false">IF(B18="","",B18+3)</f>
        <v/>
      </c>
      <c r="J18" s="14"/>
      <c r="K18" s="14"/>
      <c r="L18" s="14"/>
      <c r="M18" s="14"/>
    </row>
    <row r="19" customFormat="false" ht="25.5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22" t="str">
        <f aca="false">IF(B19="","",B19+3)</f>
        <v/>
      </c>
      <c r="J19" s="14"/>
      <c r="K19" s="14"/>
      <c r="L19" s="14"/>
      <c r="M19" s="14"/>
    </row>
    <row r="20" customFormat="false" ht="25.5" hidden="false" customHeight="true" outlineLevel="0" collapsed="false">
      <c r="A20" s="14"/>
      <c r="B20" s="14"/>
      <c r="C20" s="14"/>
      <c r="D20" s="14"/>
      <c r="E20" s="14"/>
      <c r="F20" s="14"/>
      <c r="G20" s="14"/>
      <c r="H20" s="14"/>
      <c r="I20" s="22" t="str">
        <f aca="false">IF(B20="","",B20+3)</f>
        <v/>
      </c>
      <c r="J20" s="14"/>
      <c r="K20" s="14"/>
      <c r="L20" s="14"/>
      <c r="M20" s="14"/>
    </row>
  </sheetData>
  <mergeCells count="2">
    <mergeCell ref="A1:M1"/>
    <mergeCell ref="A2:M2"/>
  </mergeCells>
  <dataValidations count="4">
    <dataValidation allowBlank="true" errorStyle="stop" operator="between" showDropDown="false" showErrorMessage="false" showInputMessage="false" sqref="G5:G20" type="list">
      <formula1>"Y,N,Under Assessment"</formula1>
      <formula2>0</formula2>
    </dataValidation>
    <dataValidation allowBlank="true" errorStyle="stop" operator="between" showDropDown="false" showErrorMessage="false" showInputMessage="false" sqref="H5:H20" type="list">
      <formula1>"Y,N,Under Assessment"</formula1>
      <formula2>0</formula2>
    </dataValidation>
    <dataValidation allowBlank="true" errorStyle="stop" operator="between" showDropDown="false" showErrorMessage="false" showInputMessage="false" sqref="K5:K20" type="list">
      <formula1>"Y,N,Under Assessment"</formula1>
      <formula2>0</formula2>
    </dataValidation>
    <dataValidation allowBlank="true" errorStyle="stop" operator="between" showDropDown="false" showErrorMessage="false" showInputMessage="false" sqref="M5:M20" type="list">
      <formula1>"Open - Investigating,Notified - Under Review,Closed,Escalated"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45"/>
    <col collapsed="false" customWidth="true" hidden="false" outlineLevel="0" max="6" min="6" style="1" width="18"/>
    <col collapsed="false" customWidth="true" hidden="false" outlineLevel="0" max="7" min="7" style="1" width="14"/>
  </cols>
  <sheetData>
    <row r="1" customFormat="false" ht="27.75" hidden="false" customHeight="true" outlineLevel="0" collapsed="false">
      <c r="A1" s="2" t="s">
        <v>296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297</v>
      </c>
      <c r="B2" s="3"/>
      <c r="C2" s="3"/>
      <c r="D2" s="3"/>
      <c r="E2" s="3"/>
      <c r="F2" s="3"/>
      <c r="G2" s="3"/>
    </row>
    <row r="4" customFormat="false" ht="31.5" hidden="false" customHeight="true" outlineLevel="0" collapsed="false">
      <c r="A4" s="8" t="s">
        <v>298</v>
      </c>
      <c r="B4" s="8" t="s">
        <v>299</v>
      </c>
      <c r="C4" s="8" t="s">
        <v>300</v>
      </c>
      <c r="D4" s="8" t="s">
        <v>301</v>
      </c>
      <c r="E4" s="8" t="s">
        <v>302</v>
      </c>
      <c r="F4" s="8" t="s">
        <v>303</v>
      </c>
      <c r="G4" s="8" t="s">
        <v>304</v>
      </c>
    </row>
    <row r="5" customFormat="false" ht="23.85" hidden="false" customHeight="false" outlineLevel="0" collapsed="false">
      <c r="A5" s="13" t="s">
        <v>305</v>
      </c>
      <c r="B5" s="13" t="s">
        <v>306</v>
      </c>
      <c r="C5" s="13" t="s">
        <v>307</v>
      </c>
      <c r="D5" s="13" t="s">
        <v>308</v>
      </c>
      <c r="E5" s="13" t="s">
        <v>309</v>
      </c>
      <c r="F5" s="13" t="s">
        <v>310</v>
      </c>
      <c r="G5" s="13" t="s">
        <v>311</v>
      </c>
    </row>
    <row r="6" customFormat="false" ht="19.5" hidden="false" customHeight="true" outlineLevel="0" collapsed="false">
      <c r="A6" s="14"/>
      <c r="B6" s="14"/>
      <c r="C6" s="14"/>
      <c r="D6" s="14"/>
      <c r="E6" s="14"/>
      <c r="F6" s="14"/>
      <c r="G6" s="14"/>
    </row>
    <row r="7" customFormat="false" ht="19.5" hidden="false" customHeight="true" outlineLevel="0" collapsed="false">
      <c r="A7" s="14"/>
      <c r="B7" s="14"/>
      <c r="C7" s="14"/>
      <c r="D7" s="14"/>
      <c r="E7" s="14"/>
      <c r="F7" s="14"/>
      <c r="G7" s="14"/>
    </row>
    <row r="8" customFormat="false" ht="19.5" hidden="false" customHeight="true" outlineLevel="0" collapsed="false">
      <c r="A8" s="14"/>
      <c r="B8" s="14"/>
      <c r="C8" s="14"/>
      <c r="D8" s="14"/>
      <c r="E8" s="14"/>
      <c r="F8" s="14"/>
      <c r="G8" s="14"/>
    </row>
    <row r="9" customFormat="false" ht="19.5" hidden="false" customHeight="true" outlineLevel="0" collapsed="false">
      <c r="A9" s="14"/>
      <c r="B9" s="14"/>
      <c r="C9" s="14"/>
      <c r="D9" s="14"/>
      <c r="E9" s="14"/>
      <c r="F9" s="14"/>
      <c r="G9" s="14"/>
    </row>
    <row r="10" customFormat="false" ht="19.5" hidden="false" customHeight="true" outlineLevel="0" collapsed="false">
      <c r="A10" s="14"/>
      <c r="B10" s="14"/>
      <c r="C10" s="14"/>
      <c r="D10" s="14"/>
      <c r="E10" s="14"/>
      <c r="F10" s="14"/>
      <c r="G10" s="14"/>
    </row>
    <row r="11" customFormat="false" ht="19.5" hidden="false" customHeight="true" outlineLevel="0" collapsed="false">
      <c r="A11" s="14"/>
      <c r="B11" s="14"/>
      <c r="C11" s="14"/>
      <c r="D11" s="14"/>
      <c r="E11" s="14"/>
      <c r="F11" s="14"/>
      <c r="G11" s="14"/>
    </row>
    <row r="12" customFormat="false" ht="19.5" hidden="false" customHeight="true" outlineLevel="0" collapsed="false">
      <c r="A12" s="14"/>
      <c r="B12" s="14"/>
      <c r="C12" s="14"/>
      <c r="D12" s="14"/>
      <c r="E12" s="14"/>
      <c r="F12" s="14"/>
      <c r="G12" s="14"/>
    </row>
    <row r="13" customFormat="false" ht="19.5" hidden="false" customHeight="true" outlineLevel="0" collapsed="false">
      <c r="A13" s="14"/>
      <c r="B13" s="14"/>
      <c r="C13" s="14"/>
      <c r="D13" s="14"/>
      <c r="E13" s="14"/>
      <c r="F13" s="14"/>
      <c r="G13" s="14"/>
    </row>
    <row r="14" customFormat="false" ht="19.5" hidden="false" customHeight="true" outlineLevel="0" collapsed="false">
      <c r="A14" s="14"/>
      <c r="B14" s="14"/>
      <c r="C14" s="14"/>
      <c r="D14" s="14"/>
      <c r="E14" s="14"/>
      <c r="F14" s="14"/>
      <c r="G14" s="14"/>
    </row>
    <row r="15" customFormat="false" ht="19.5" hidden="false" customHeight="true" outlineLevel="0" collapsed="false">
      <c r="A15" s="14"/>
      <c r="B15" s="14"/>
      <c r="C15" s="14"/>
      <c r="D15" s="14"/>
      <c r="E15" s="14"/>
      <c r="F15" s="14"/>
      <c r="G15" s="14"/>
    </row>
    <row r="16" customFormat="false" ht="19.5" hidden="false" customHeight="true" outlineLevel="0" collapsed="false">
      <c r="A16" s="14"/>
      <c r="B16" s="14"/>
      <c r="C16" s="14"/>
      <c r="D16" s="14"/>
      <c r="E16" s="14"/>
      <c r="F16" s="14"/>
      <c r="G16" s="14"/>
    </row>
    <row r="17" customFormat="false" ht="19.5" hidden="false" customHeight="true" outlineLevel="0" collapsed="false">
      <c r="A17" s="14"/>
      <c r="B17" s="14"/>
      <c r="C17" s="14"/>
      <c r="D17" s="14"/>
      <c r="E17" s="14"/>
      <c r="F17" s="14"/>
      <c r="G17" s="14"/>
    </row>
    <row r="18" customFormat="false" ht="19.5" hidden="false" customHeight="true" outlineLevel="0" collapsed="false">
      <c r="A18" s="14"/>
      <c r="B18" s="14"/>
      <c r="C18" s="14"/>
      <c r="D18" s="14"/>
      <c r="E18" s="14"/>
      <c r="F18" s="14"/>
      <c r="G18" s="14"/>
    </row>
    <row r="19" customFormat="false" ht="19.5" hidden="false" customHeight="true" outlineLevel="0" collapsed="false">
      <c r="A19" s="14"/>
      <c r="B19" s="14"/>
      <c r="C19" s="14"/>
      <c r="D19" s="14"/>
      <c r="E19" s="14"/>
      <c r="F19" s="14"/>
      <c r="G19" s="14"/>
    </row>
    <row r="20" customFormat="false" ht="19.5" hidden="false" customHeight="true" outlineLevel="0" collapsed="false">
      <c r="A20" s="14"/>
      <c r="B20" s="14"/>
      <c r="C20" s="14"/>
      <c r="D20" s="14"/>
      <c r="E20" s="14"/>
      <c r="F20" s="14"/>
      <c r="G20" s="14"/>
    </row>
    <row r="21" customFormat="false" ht="19.5" hidden="false" customHeight="true" outlineLevel="0" collapsed="false">
      <c r="A21" s="14"/>
      <c r="B21" s="14"/>
      <c r="C21" s="14"/>
      <c r="D21" s="14"/>
      <c r="E21" s="14"/>
      <c r="F21" s="14"/>
      <c r="G21" s="14"/>
    </row>
    <row r="22" customFormat="false" ht="19.5" hidden="false" customHeight="true" outlineLevel="0" collapsed="false">
      <c r="A22" s="14"/>
      <c r="B22" s="14"/>
      <c r="C22" s="14"/>
      <c r="D22" s="14"/>
      <c r="E22" s="14"/>
      <c r="F22" s="14"/>
      <c r="G22" s="14"/>
    </row>
    <row r="23" customFormat="false" ht="19.5" hidden="false" customHeight="true" outlineLevel="0" collapsed="false">
      <c r="A23" s="14"/>
      <c r="B23" s="14"/>
      <c r="C23" s="14"/>
      <c r="D23" s="14"/>
      <c r="E23" s="14"/>
      <c r="F23" s="14"/>
      <c r="G23" s="14"/>
    </row>
    <row r="24" customFormat="false" ht="19.5" hidden="false" customHeight="true" outlineLevel="0" collapsed="false">
      <c r="A24" s="14"/>
      <c r="B24" s="14"/>
      <c r="C24" s="14"/>
      <c r="D24" s="14"/>
      <c r="E24" s="14"/>
      <c r="F24" s="14"/>
      <c r="G24" s="14"/>
    </row>
    <row r="25" customFormat="false" ht="19.5" hidden="false" customHeight="true" outlineLevel="0" collapsed="false">
      <c r="A25" s="14"/>
      <c r="B25" s="14"/>
      <c r="C25" s="14"/>
      <c r="D25" s="14"/>
      <c r="E25" s="14"/>
      <c r="F25" s="14"/>
      <c r="G25" s="14"/>
    </row>
    <row r="26" customFormat="false" ht="19.5" hidden="false" customHeight="true" outlineLevel="0" collapsed="false">
      <c r="A26" s="14"/>
      <c r="B26" s="14"/>
      <c r="C26" s="14"/>
      <c r="D26" s="14"/>
      <c r="E26" s="14"/>
      <c r="F26" s="14"/>
      <c r="G26" s="14"/>
    </row>
    <row r="27" customFormat="false" ht="19.5" hidden="false" customHeight="true" outlineLevel="0" collapsed="false">
      <c r="A27" s="14"/>
      <c r="B27" s="14"/>
      <c r="C27" s="14"/>
      <c r="D27" s="14"/>
      <c r="E27" s="14"/>
      <c r="F27" s="14"/>
      <c r="G27" s="14"/>
    </row>
    <row r="28" customFormat="false" ht="19.5" hidden="false" customHeight="true" outlineLevel="0" collapsed="false">
      <c r="A28" s="14"/>
      <c r="B28" s="14"/>
      <c r="C28" s="14"/>
      <c r="D28" s="14"/>
      <c r="E28" s="14"/>
      <c r="F28" s="14"/>
      <c r="G28" s="14"/>
    </row>
    <row r="29" customFormat="false" ht="19.5" hidden="false" customHeight="true" outlineLevel="0" collapsed="false">
      <c r="A29" s="14"/>
      <c r="B29" s="14"/>
      <c r="C29" s="14"/>
      <c r="D29" s="14"/>
      <c r="E29" s="14"/>
      <c r="F29" s="14"/>
      <c r="G29" s="14"/>
    </row>
    <row r="30" customFormat="false" ht="19.5" hidden="false" customHeight="true" outlineLevel="0" collapsed="false">
      <c r="A30" s="14"/>
      <c r="B30" s="14"/>
      <c r="C30" s="14"/>
      <c r="D30" s="14"/>
      <c r="E30" s="14"/>
      <c r="F30" s="14"/>
      <c r="G30" s="14"/>
    </row>
    <row r="31" customFormat="false" ht="19.5" hidden="false" customHeight="true" outlineLevel="0" collapsed="false">
      <c r="A31" s="14"/>
      <c r="B31" s="14"/>
      <c r="C31" s="14"/>
      <c r="D31" s="14"/>
      <c r="E31" s="14"/>
      <c r="F31" s="14"/>
      <c r="G31" s="14"/>
    </row>
    <row r="32" customFormat="false" ht="19.5" hidden="false" customHeight="true" outlineLevel="0" collapsed="false">
      <c r="A32" s="14"/>
      <c r="B32" s="14"/>
      <c r="C32" s="14"/>
      <c r="D32" s="14"/>
      <c r="E32" s="14"/>
      <c r="F32" s="14"/>
      <c r="G32" s="14"/>
    </row>
    <row r="33" customFormat="false" ht="19.5" hidden="false" customHeight="true" outlineLevel="0" collapsed="false">
      <c r="A33" s="14"/>
      <c r="B33" s="14"/>
      <c r="C33" s="14"/>
      <c r="D33" s="14"/>
      <c r="E33" s="14"/>
      <c r="F33" s="14"/>
      <c r="G33" s="14"/>
    </row>
    <row r="34" customFormat="false" ht="19.5" hidden="false" customHeight="true" outlineLevel="0" collapsed="false">
      <c r="A34" s="14"/>
      <c r="B34" s="14"/>
      <c r="C34" s="14"/>
      <c r="D34" s="14"/>
      <c r="E34" s="14"/>
      <c r="F34" s="14"/>
      <c r="G34" s="14"/>
    </row>
    <row r="35" customFormat="false" ht="19.5" hidden="false" customHeight="true" outlineLevel="0" collapsed="false">
      <c r="A35" s="14"/>
      <c r="B35" s="14"/>
      <c r="C35" s="14"/>
      <c r="D35" s="14"/>
      <c r="E35" s="14"/>
      <c r="F35" s="14"/>
      <c r="G35" s="14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F5:F35" type="list">
      <formula1>"Supports Compliance,Supports Finding,Needs Follow-up"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38"/>
    <col collapsed="false" customWidth="true" hidden="false" outlineLevel="0" max="6" min="6" style="1" width="12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1" min="10" style="1" width="30"/>
    <col collapsed="false" customWidth="true" hidden="false" outlineLevel="0" max="13" min="12" style="1" width="14"/>
    <col collapsed="false" customWidth="true" hidden="false" outlineLevel="0" max="14" min="14" style="1" width="16"/>
  </cols>
  <sheetData>
    <row r="1" customFormat="false" ht="27.75" hidden="false" customHeight="true" outlineLevel="0" collapsed="false">
      <c r="A1" s="2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8" hidden="false" customHeight="true" outlineLevel="0" collapsed="false">
      <c r="A2" s="3" t="s">
        <v>313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31.5" hidden="false" customHeight="true" outlineLevel="0" collapsed="false">
      <c r="A4" s="8" t="s">
        <v>314</v>
      </c>
      <c r="B4" s="8" t="s">
        <v>315</v>
      </c>
      <c r="C4" s="8" t="s">
        <v>316</v>
      </c>
      <c r="D4" s="8" t="s">
        <v>317</v>
      </c>
      <c r="E4" s="8" t="s">
        <v>318</v>
      </c>
      <c r="F4" s="8" t="s">
        <v>265</v>
      </c>
      <c r="G4" s="8" t="s">
        <v>319</v>
      </c>
      <c r="H4" s="8" t="s">
        <v>320</v>
      </c>
      <c r="I4" s="8" t="s">
        <v>321</v>
      </c>
      <c r="J4" s="8" t="s">
        <v>322</v>
      </c>
      <c r="K4" s="8" t="s">
        <v>323</v>
      </c>
      <c r="L4" s="8" t="s">
        <v>324</v>
      </c>
      <c r="M4" s="8" t="s">
        <v>325</v>
      </c>
      <c r="N4" s="8" t="s">
        <v>287</v>
      </c>
    </row>
    <row r="5" customFormat="false" ht="46.25" hidden="false" customHeight="false" outlineLevel="0" collapsed="false">
      <c r="A5" s="13" t="s">
        <v>326</v>
      </c>
      <c r="B5" s="13" t="s">
        <v>327</v>
      </c>
      <c r="C5" s="13" t="s">
        <v>328</v>
      </c>
      <c r="D5" s="13" t="s">
        <v>329</v>
      </c>
      <c r="E5" s="13" t="s">
        <v>330</v>
      </c>
      <c r="F5" s="13" t="s">
        <v>331</v>
      </c>
      <c r="G5" s="13" t="s">
        <v>332</v>
      </c>
      <c r="H5" s="13" t="s">
        <v>311</v>
      </c>
      <c r="I5" s="13" t="s">
        <v>98</v>
      </c>
      <c r="J5" s="13" t="s">
        <v>333</v>
      </c>
      <c r="K5" s="13" t="s">
        <v>334</v>
      </c>
      <c r="L5" s="13" t="s">
        <v>335</v>
      </c>
      <c r="M5" s="13" t="s">
        <v>336</v>
      </c>
      <c r="N5" s="13" t="s">
        <v>337</v>
      </c>
    </row>
    <row r="6" customFormat="false" ht="24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customFormat="false" ht="24" hidden="false" customHeight="tru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customFormat="false" ht="24" hidden="false" customHeight="tru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customFormat="false" ht="24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customFormat="false" ht="24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customFormat="false" ht="24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customFormat="false" ht="24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customFormat="false" ht="24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customFormat="false" ht="24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customFormat="false" ht="24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customFormat="false" ht="24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customFormat="false" ht="24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customFormat="false" ht="24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customFormat="false" ht="24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customFormat="false" ht="24" hidden="false" customHeight="tru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customFormat="false" ht="24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customFormat="false" ht="24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customFormat="false" ht="24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customFormat="false" ht="24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customFormat="false" ht="24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customFormat="false" ht="24" hidden="false" customHeight="tru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customFormat="false" ht="24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</sheetData>
  <mergeCells count="2">
    <mergeCell ref="A1:N1"/>
    <mergeCell ref="A2:N2"/>
  </mergeCells>
  <dataValidations count="4">
    <dataValidation allowBlank="true" errorStyle="stop" operator="between" showDropDown="false" showErrorMessage="false" showInputMessage="false" sqref="F5:F27" type="list">
      <formula1>"Critical,High,Medium,Low"</formula1>
      <formula2>0</formula2>
    </dataValidation>
    <dataValidation allowBlank="true" errorStyle="stop" operator="between" showDropDown="false" showErrorMessage="false" showInputMessage="false" sqref="G5:G27" type="list">
      <formula1>"Isolated,Pattern"</formula1>
      <formula2>0</formula2>
    </dataValidation>
    <dataValidation allowBlank="true" errorStyle="stop" operator="between" showDropDown="false" showErrorMessage="false" showInputMessage="false" sqref="I5:I27" type="list">
      <formula1>"Y,N"</formula1>
      <formula2>0</formula2>
    </dataValidation>
    <dataValidation allowBlank="true" errorStyle="stop" operator="between" showDropDown="false" showErrorMessage="false" showInputMessage="false" sqref="N5:N27" type="list">
      <formula1>"Open,Remediation In Progress,Verified Closed,Escalated"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0"/>
  </cols>
  <sheetData>
    <row r="1" customFormat="false" ht="27.75" hidden="false" customHeight="true" outlineLevel="0" collapsed="false">
      <c r="A1" s="2" t="s">
        <v>338</v>
      </c>
      <c r="B1" s="2"/>
    </row>
    <row r="2" customFormat="false" ht="18" hidden="false" customHeight="true" outlineLevel="0" collapsed="false">
      <c r="A2" s="3" t="s">
        <v>339</v>
      </c>
      <c r="B2" s="3"/>
    </row>
    <row r="4" customFormat="false" ht="21.75" hidden="false" customHeight="true" outlineLevel="0" collapsed="false">
      <c r="A4" s="11" t="s">
        <v>52</v>
      </c>
      <c r="B4" s="14"/>
    </row>
    <row r="5" customFormat="false" ht="21.75" hidden="false" customHeight="true" outlineLevel="0" collapsed="false">
      <c r="A5" s="11" t="s">
        <v>340</v>
      </c>
      <c r="B5" s="14"/>
    </row>
    <row r="6" customFormat="false" ht="21.75" hidden="false" customHeight="true" outlineLevel="0" collapsed="false">
      <c r="A6" s="11" t="s">
        <v>341</v>
      </c>
      <c r="B6" s="14"/>
    </row>
    <row r="7" customFormat="false" ht="21.75" hidden="false" customHeight="true" outlineLevel="0" collapsed="false">
      <c r="A7" s="11" t="s">
        <v>62</v>
      </c>
      <c r="B7" s="14"/>
    </row>
    <row r="8" customFormat="false" ht="21.75" hidden="false" customHeight="true" outlineLevel="0" collapsed="false">
      <c r="A8" s="11" t="s">
        <v>68</v>
      </c>
      <c r="B8" s="14"/>
    </row>
    <row r="9" customFormat="false" ht="21.75" hidden="false" customHeight="true" outlineLevel="0" collapsed="false">
      <c r="A9" s="11" t="s">
        <v>342</v>
      </c>
      <c r="B9" s="14"/>
    </row>
    <row r="10" customFormat="false" ht="39.75" hidden="false" customHeight="true" outlineLevel="0" collapsed="false">
      <c r="A10" s="11" t="s">
        <v>343</v>
      </c>
      <c r="B10" s="14"/>
    </row>
    <row r="11" customFormat="false" ht="21.75" hidden="false" customHeight="true" outlineLevel="0" collapsed="false">
      <c r="A11" s="11" t="s">
        <v>344</v>
      </c>
      <c r="B11" s="14"/>
    </row>
    <row r="12" customFormat="false" ht="39.75" hidden="false" customHeight="true" outlineLevel="0" collapsed="false">
      <c r="A12" s="11" t="s">
        <v>345</v>
      </c>
      <c r="B12" s="14"/>
    </row>
    <row r="13" customFormat="false" ht="39.75" hidden="false" customHeight="true" outlineLevel="0" collapsed="false">
      <c r="A13" s="11" t="s">
        <v>346</v>
      </c>
      <c r="B13" s="14"/>
    </row>
    <row r="15" customFormat="false" ht="16.15" hidden="false" customHeight="false" outlineLevel="0" collapsed="false">
      <c r="A15" s="4" t="s">
        <v>347</v>
      </c>
    </row>
    <row r="16" customFormat="false" ht="31.5" hidden="false" customHeight="true" outlineLevel="0" collapsed="false">
      <c r="A16" s="8" t="s">
        <v>265</v>
      </c>
      <c r="B16" s="8" t="s">
        <v>348</v>
      </c>
      <c r="C16" s="8" t="s">
        <v>349</v>
      </c>
    </row>
    <row r="17" customFormat="false" ht="15" hidden="false" customHeight="false" outlineLevel="0" collapsed="false">
      <c r="A17" s="14" t="s">
        <v>350</v>
      </c>
      <c r="B17" s="14" t="n">
        <f aca="false">COUNTIF('Template 10 - Findings &amp; Risk'!$F$5:$F$200,"Critical")</f>
        <v>0</v>
      </c>
      <c r="C17" s="14"/>
    </row>
    <row r="18" customFormat="false" ht="15" hidden="false" customHeight="false" outlineLevel="0" collapsed="false">
      <c r="A18" s="14" t="s">
        <v>331</v>
      </c>
      <c r="B18" s="14" t="n">
        <f aca="false">COUNTIF('Template 10 - Findings &amp; Risk'!$F$5:$F$200,"High")</f>
        <v>1</v>
      </c>
      <c r="C18" s="14"/>
    </row>
    <row r="19" customFormat="false" ht="15" hidden="false" customHeight="false" outlineLevel="0" collapsed="false">
      <c r="A19" s="14" t="s">
        <v>272</v>
      </c>
      <c r="B19" s="14" t="n">
        <f aca="false">COUNTIF('Template 10 - Findings &amp; Risk'!$F$5:$F$200,"Medium")</f>
        <v>0</v>
      </c>
      <c r="C19" s="14"/>
    </row>
    <row r="20" customFormat="false" ht="15" hidden="false" customHeight="false" outlineLevel="0" collapsed="false">
      <c r="A20" s="14" t="s">
        <v>351</v>
      </c>
      <c r="B20" s="14" t="n">
        <f aca="false">COUNTIF('Template 10 - Findings &amp; Risk'!$F$5:$F$200,"Low")</f>
        <v>0</v>
      </c>
      <c r="C20" s="14"/>
    </row>
    <row r="22" customFormat="false" ht="15" hidden="false" customHeight="false" outlineLevel="0" collapsed="false">
      <c r="A22" s="23" t="s">
        <v>352</v>
      </c>
      <c r="B22" s="23"/>
    </row>
    <row r="23" customFormat="false" ht="15" hidden="false" customHeight="false" outlineLevel="0" collapsed="false">
      <c r="A23" s="23" t="s">
        <v>353</v>
      </c>
      <c r="B23" s="23"/>
    </row>
  </sheetData>
  <mergeCells count="2">
    <mergeCell ref="A1:B1"/>
    <mergeCell ref="A2:B2"/>
  </mergeCells>
  <dataValidations count="1">
    <dataValidation allowBlank="true" errorStyle="stop" operator="between" showDropDown="false" showErrorMessage="false" showInputMessage="false" sqref="B13" type="list">
      <formula1>"Substantially Compliant,Compliant with Gaps - Remediation Plan in Place,Significant Gaps - Immediate Action Required,Not Assessed"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4" min="3" style="1" width="34"/>
    <col collapsed="false" customWidth="true" hidden="false" outlineLevel="0" max="5" min="5" style="1" width="30"/>
    <col collapsed="false" customWidth="true" hidden="false" outlineLevel="0" max="6" min="6" style="1" width="16"/>
    <col collapsed="false" customWidth="true" hidden="false" outlineLevel="0" max="9" min="7" style="1" width="14"/>
    <col collapsed="false" customWidth="true" hidden="false" outlineLevel="0" max="10" min="10" style="1" width="18"/>
  </cols>
  <sheetData>
    <row r="1" customFormat="false" ht="27.75" hidden="false" customHeight="true" outlineLevel="0" collapsed="false">
      <c r="A1" s="2" t="s">
        <v>354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355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1.5" hidden="false" customHeight="true" outlineLevel="0" collapsed="false">
      <c r="A4" s="8" t="s">
        <v>356</v>
      </c>
      <c r="B4" s="8" t="s">
        <v>357</v>
      </c>
      <c r="C4" s="8" t="s">
        <v>358</v>
      </c>
      <c r="D4" s="8" t="s">
        <v>359</v>
      </c>
      <c r="E4" s="8" t="s">
        <v>324</v>
      </c>
      <c r="F4" s="8" t="s">
        <v>360</v>
      </c>
      <c r="G4" s="8" t="s">
        <v>325</v>
      </c>
      <c r="H4" s="8" t="s">
        <v>287</v>
      </c>
      <c r="I4" s="8" t="s">
        <v>361</v>
      </c>
      <c r="J4" s="8" t="s">
        <v>362</v>
      </c>
    </row>
    <row r="5" customFormat="false" ht="35.05" hidden="false" customHeight="false" outlineLevel="0" collapsed="false">
      <c r="A5" s="13" t="s">
        <v>326</v>
      </c>
      <c r="B5" s="13" t="s">
        <v>331</v>
      </c>
      <c r="C5" s="13" t="s">
        <v>363</v>
      </c>
      <c r="D5" s="13" t="s">
        <v>364</v>
      </c>
      <c r="E5" s="13" t="s">
        <v>335</v>
      </c>
      <c r="F5" s="13" t="s">
        <v>365</v>
      </c>
      <c r="G5" s="13" t="s">
        <v>336</v>
      </c>
      <c r="H5" s="13" t="s">
        <v>366</v>
      </c>
      <c r="I5" s="13" t="s">
        <v>367</v>
      </c>
      <c r="J5" s="13" t="s">
        <v>311</v>
      </c>
    </row>
    <row r="6" customFormat="false" ht="25.5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</row>
    <row r="7" customFormat="false" ht="25.5" hidden="false" customHeight="tru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/>
    </row>
    <row r="8" customFormat="false" ht="25.5" hidden="false" customHeight="tru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</row>
    <row r="9" customFormat="false" ht="25.5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customFormat="false" ht="25.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customFormat="false" ht="25.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customFormat="false" ht="25.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customFormat="false" ht="25.5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customFormat="false" ht="25.5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customFormat="false" ht="25.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customFormat="false" ht="25.5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customFormat="false" ht="25.5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customFormat="false" ht="25.5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customFormat="false" ht="25.5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customFormat="false" ht="25.5" hidden="false" customHeight="tru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customFormat="false" ht="25.5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customFormat="false" ht="25.5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customFormat="false" ht="25.5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customFormat="false" ht="25.5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customFormat="false" ht="25.5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</row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B5:B25" type="list">
      <formula1>"Critical,High,Medium,Low"</formula1>
      <formula2>0</formula2>
    </dataValidation>
    <dataValidation allowBlank="true" errorStyle="stop" operator="between" showDropDown="false" showErrorMessage="false" showInputMessage="false" sqref="H5:H25" type="list">
      <formula1>"Not Started,In Progress,Submitted for Verification,Verified Closed,Overdue,Escalated"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2026-08-13T15:26:59Z</dcterms:created>
  <dc:creator>openpyxl</dc:creator>
  <dc:description/>
  <dc:language>en-US</dc:language>
  <cp:lastModifiedBy/>
  <dcterms:modified xsi:type="dcterms:W3CDTF">2026-08-13T15:26:59Z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