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11.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11.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Template 1 - Assessment Plan" sheetId="2" state="visible" r:id="rId4"/>
    <sheet name="Template 2 - Current State" sheetId="3" state="visible" r:id="rId5"/>
    <sheet name="Template 3 - Target State" sheetId="4" state="visible" r:id="rId6"/>
    <sheet name="Template 4 - Gap Analysis" sheetId="5" state="visible" r:id="rId7"/>
    <sheet name="Template 5 - Evidence Log" sheetId="6" state="visible" r:id="rId8"/>
    <sheet name="Template 6 - Findings Tracker" sheetId="7" state="visible" r:id="rId9"/>
    <sheet name="Template 7 - Interview Agenda" sheetId="8" state="visible" r:id="rId10"/>
    <sheet name="Template 8 - Report Summary" sheetId="9" state="visible" r:id="rId11"/>
    <sheet name="Template 9 - Roadmap Tracker" sheetId="10" state="visible" r:id="rId12"/>
    <sheet name="Template 10 - Risk Register" sheetId="11" state="visible" r:id="rId13"/>
    <sheet name="Template 11 - GenAI Supplement" sheetId="12" state="visible" r:id="rId14"/>
    <sheet name="Template 12 - Reassessment" sheetId="13" state="visible" r:id="rId15"/>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D4" authorId="0">
      <text>
        <r>
          <rPr>
            <sz val="10"/>
            <rFont val="Arial"/>
            <family val="2"/>
          </rPr>
          <t xml:space="preserve">Toolkit-defined maturity scale (not an official NIST scale): 0 = Not Started, 1 = Ad Hoc/Informal, 2 = Defined but Inconsistent, 3 = Managed &amp; Measured, 4 = Optimized/Continuously Improved.</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H4" authorId="0">
      <text>
        <r>
          <rPr>
            <sz val="10"/>
            <rFont val="Arial"/>
            <family val="2"/>
          </rPr>
          <t xml:space="preserve">Risk Score = Likelihood x Impact (auto-calculated). This toolkit's own interpretive scale: 1-5 Low, 6-14 Medium, 15-25 High.</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G4" authorId="0">
      <text>
        <r>
          <rPr>
            <sz val="10"/>
            <rFont val="Arial"/>
            <family val="2"/>
          </rPr>
          <t xml:space="preserve">Risk Rating = Likelihood x Impact (auto-calculated). Toolkit's own interpretive scale: 1-5 Low, 6-14 Medium, 15-25 High.</t>
        </r>
      </text>
    </comment>
  </commentList>
</comments>
</file>

<file path=xl/sharedStrings.xml><?xml version="1.0" encoding="utf-8"?>
<sst xmlns="http://schemas.openxmlformats.org/spreadsheetml/2006/main" count="1029" uniqueCount="437">
  <si>
    <t xml:space="preserve">NIST AI RMF Assessment Toolkit</t>
  </si>
  <si>
    <t xml:space="preserve">Companion workbook to the NIST AI RMF Assessment Handbook (.docx) — reusable templates for a voluntary self-assessment against NIST AI RMF 1.0 (NIST AI 100-1).</t>
  </si>
  <si>
    <t xml:space="preserve">Important: this is a self-assessment tool, not a certification instrument</t>
  </si>
  <si>
    <t xml:space="preserve">The NIST AI Risk Management Framework (AI RMF 1.0) is a voluntary framework. There is no accredited third-party certification body for AI RMF, no official NIST maturity model, and no numeric scoring system. Any score, scale, or priority label used in this workbook (for example the 0-4 maturity scale on Template 2, or the Critical/High/Medium/Low priority scale on Template 6) is this toolkit's own interpretive layer, built in the same spirit as third-party tools like the Cloud Security Alliance's AI Controls Matrix / AI Security Maturity Model or vendor GRC platforms — it is not an official NIST scoring methodology.</t>
  </si>
  <si>
    <t xml:space="preserve">How to use this workbook</t>
  </si>
  <si>
    <t xml:space="preserve">1.</t>
  </si>
  <si>
    <t xml:space="preserve">This workbook contains 12 templates (Template 1-12), one per tab, each paired with a numbered walkthrough in Part Four of the companion handbook.</t>
  </si>
  <si>
    <t xml:space="preserve">2.</t>
  </si>
  <si>
    <t xml:space="preserve">Work through the tabs roughly in order on your first assessment: plan, gather evidence, assess current state, define target state, analyze gaps, track findings, report, and roadmap. On a reassessment, start from Template 12 and jump to whichever tabs you need.</t>
  </si>
  <si>
    <t xml:space="preserve">3.</t>
  </si>
  <si>
    <t xml:space="preserve">Template 2 (Current-State Checklist) lists all 72 subcategories of the AI RMF Core (the four Functions: GOVERN, MAP, MEASURE, MANAGE). This is the backbone of the whole workbook — Templates 3 and 4 pull scores from it automatically.</t>
  </si>
  <si>
    <t xml:space="preserve">4.</t>
  </si>
  <si>
    <t xml:space="preserve">Every template includes one example row in gray italics near the top — read it, then add your own rows below (leave the example row as a reference, or delete it once you're comfortable).</t>
  </si>
  <si>
    <t xml:space="preserve">5.</t>
  </si>
  <si>
    <t xml:space="preserve">Yellow-headed instruction cells and white input cells are where you type; navy-headed columns with pre-populated reference content (subcategory text, GenAI risk descriptions) should not be deleted, only extended if the framework is updated.</t>
  </si>
  <si>
    <t xml:space="preserve">6.</t>
  </si>
  <si>
    <t xml:space="preserve">Cells with a dropdown arrow use validated lists (e.g., maturity scores, priority levels) — use the dropdown rather than free text, so future filtering and reporting stays consistent.</t>
  </si>
  <si>
    <t xml:space="preserve">7.</t>
  </si>
  <si>
    <t xml:space="preserve">Duplicate this whole workbook file at the start of each new assessment cycle (e.g., 'NIST AI RMF Toolkit - Acme Corp - 2027 Reassessment.xlsx') so you keep a clean, dated record per cycle.</t>
  </si>
  <si>
    <t xml:space="preserve">8.</t>
  </si>
  <si>
    <t xml:space="preserve">Template 12 (Reassessment Schedule) and Template 10 (AI Risk Register) are the two tabs meant to persist and be updated across multiple assessment cycles rather than restarted each time.</t>
  </si>
  <si>
    <t xml:space="preserve">Tab index</t>
  </si>
  <si>
    <t xml:space="preserve">Tab name</t>
  </si>
  <si>
    <t xml:space="preserve">Purpose</t>
  </si>
  <si>
    <t xml:space="preserve">Template 1 - Assessment Plan</t>
  </si>
  <si>
    <t xml:space="preserve">Plan the assessment: objectives, scope, criteria, team, schedule.</t>
  </si>
  <si>
    <t xml:space="preserve">Template 2 - Current State</t>
  </si>
  <si>
    <t xml:space="preserve">All 72 AI RMF subcategories, scored for current-state maturity with evidence and notes.</t>
  </si>
  <si>
    <t xml:space="preserve">Template 3 - Target State</t>
  </si>
  <si>
    <t xml:space="preserve">Target maturity and priority for each subcategory, pulling current scores automatically.</t>
  </si>
  <si>
    <t xml:space="preserve">Template 4 - Gap Analysis</t>
  </si>
  <si>
    <t xml:space="preserve">Gap size and category for each subcategory, calculated from Templates 2 and 3.</t>
  </si>
  <si>
    <t xml:space="preserve">Template 5 - Evidence Log</t>
  </si>
  <si>
    <t xml:space="preserve">Chronological record of every piece of evidence examined.</t>
  </si>
  <si>
    <t xml:space="preserve">Template 6 - Findings Tracker</t>
  </si>
  <si>
    <t xml:space="preserve">Log and prioritize every finding and risk identified during the assessment.</t>
  </si>
  <si>
    <t xml:space="preserve">Template 7 - Interview Agenda</t>
  </si>
  <si>
    <t xml:space="preserve">Stakeholder interview and workshop agendas across GOVERN/MAP/MEASURE/MANAGE.</t>
  </si>
  <si>
    <t xml:space="preserve">Template 8 - Report Summary</t>
  </si>
  <si>
    <t xml:space="preserve">The final report: conclusion, findings summary, recommended next steps.</t>
  </si>
  <si>
    <t xml:space="preserve">Template 9 - Roadmap Tracker</t>
  </si>
  <si>
    <t xml:space="preserve">Track remediation actions from the gap analysis through to completion.</t>
  </si>
  <si>
    <t xml:space="preserve">Template 10 - Risk Register</t>
  </si>
  <si>
    <t xml:space="preserve">Living register of AI systems and their risk ratings, maintained across cycles.</t>
  </si>
  <si>
    <t xml:space="preserve">Template 11 - GenAI Supplement</t>
  </si>
  <si>
    <t xml:space="preserve">The 12 generative-AI-specific risks (NIST AI 600-1), mapped to AI RMF subcategories.</t>
  </si>
  <si>
    <t xml:space="preserve">Template 12 - Reassessment</t>
  </si>
  <si>
    <t xml:space="preserve">Plan and track when each Function/Category is due for reassessment.</t>
  </si>
  <si>
    <t xml:space="preserve">Complete the header fields, then build the day-by-day schedule below. See Handbook Walkthrough A.</t>
  </si>
  <si>
    <t xml:space="preserve">Organization / Entity Assessed</t>
  </si>
  <si>
    <t xml:space="preserve">Acme AI Corp (EXAMPLE)</t>
  </si>
  <si>
    <t xml:space="preserve">Assessment Type</t>
  </si>
  <si>
    <t xml:space="preserve">Initial Baseline Self-Assessment (EXAMPLE)</t>
  </si>
  <si>
    <t xml:space="preserve">Scope (AI systems / business units)</t>
  </si>
  <si>
    <t xml:space="preserve">All production AI systems within the Product org, including the 'ScreenSmart' resume-screening model and the internal support chatbot (EXAMPLE)</t>
  </si>
  <si>
    <t xml:space="preserve">Assessment Objectives</t>
  </si>
  <si>
    <t xml:space="preserve">Establish a baseline current-state maturity against NIST AI RMF 1.0; identify priority gaps; produce a remediation roadmap (EXAMPLE)</t>
  </si>
  <si>
    <t xml:space="preserve">Assessment Criteria</t>
  </si>
  <si>
    <t xml:space="preserve">NIST AI RMF 1.0 (NIST AI 100-1), all 4 Functions / 19 Categories / 72 Subcategories; NIST AI 600-1 Generative AI Profile where applicable (EXAMPLE)</t>
  </si>
  <si>
    <t xml:space="preserve">Assessment Team (Lead / Members / SMEs)</t>
  </si>
  <si>
    <t xml:space="preserve">J. Rivera (Assessment Lead), M. Chen (Risk Analyst), Dr. S. Patel (AI/ML Subject Matter Expert) (EXAMPLE)</t>
  </si>
  <si>
    <t xml:space="preserve">Executive Sponsor</t>
  </si>
  <si>
    <t xml:space="preserve">T. Nguyen, Head of AI Governance (EXAMPLE)</t>
  </si>
  <si>
    <t xml:space="preserve">Assessment Dates</t>
  </si>
  <si>
    <t xml:space="preserve">2026-09-14 to 2026-09-25 (EXAMPLE)</t>
  </si>
  <si>
    <t xml:space="preserve">Sites / Remote Mix</t>
  </si>
  <si>
    <t xml:space="preserve">Austin, TX office - on-site kickoff; remainder conducted remotely (EXAMPLE)</t>
  </si>
  <si>
    <t xml:space="preserve">Day-by-day schedule</t>
  </si>
  <si>
    <t xml:space="preserve">Date</t>
  </si>
  <si>
    <t xml:space="preserve">Time</t>
  </si>
  <si>
    <t xml:space="preserve">Function(s) / Category(ies) / Area</t>
  </si>
  <si>
    <t xml:space="preserve">Activity Type</t>
  </si>
  <si>
    <t xml:space="preserve">Assessor Assigned / Participant</t>
  </si>
  <si>
    <t xml:space="preserve">2026-09-14 (EXAMPLE)</t>
  </si>
  <si>
    <t xml:space="preserve">09:00</t>
  </si>
  <si>
    <t xml:space="preserve">Kickoff; GOVERN 1-2 (Policy &amp; Accountability)</t>
  </si>
  <si>
    <t xml:space="preserve">Interview</t>
  </si>
  <si>
    <t xml:space="preserve">J. Rivera / T. Nguyen</t>
  </si>
  <si>
    <t xml:space="preserve">Template 2 - Current-State Checklist (all 72 AI RMF subcategories)</t>
  </si>
  <si>
    <t xml:space="preserve">Score each subcategory using the toolkit's own 0-4 maturity scale (see Instructions tab) — not an official NIST scale. See Handbook Walkthrough D.</t>
  </si>
  <si>
    <t xml:space="preserve">Function</t>
  </si>
  <si>
    <t xml:space="preserve">Category</t>
  </si>
  <si>
    <t xml:space="preserve">Subcategory Description</t>
  </si>
  <si>
    <t xml:space="preserve">Current
Score (0-4)</t>
  </si>
  <si>
    <t xml:space="preserve">Evidence / Notes</t>
  </si>
  <si>
    <t xml:space="preserve">Assessor</t>
  </si>
  <si>
    <t xml:space="preserve">GOVERN</t>
  </si>
  <si>
    <t xml:space="preserve">GOVERN 1.1</t>
  </si>
  <si>
    <t xml:space="preserve">Legal and regulatory requirements involving AI are understood, managed, and documented. (EXAMPLE)</t>
  </si>
  <si>
    <t xml:space="preserve">Legal has a running memo of applicable AI regulation (EU AI Act, state biometric laws) but it is not formally reviewed on a schedule (EXAMPLE)</t>
  </si>
  <si>
    <t xml:space="preserve">M. Chen</t>
  </si>
  <si>
    <t xml:space="preserve">Legal and regulatory requirements involving AI are understood, managed, and documented.</t>
  </si>
  <si>
    <t xml:space="preserve">GOVERN 1.2</t>
  </si>
  <si>
    <t xml:space="preserve">The characteristics of trustworthy AI are integrated into organizational policies, processes, procedures, and practices.</t>
  </si>
  <si>
    <t xml:space="preserve">GOVERN 1.3</t>
  </si>
  <si>
    <t xml:space="preserve">Processes, procedures, and practices are in place to determine the needed level of risk management activities based on the organization's risk tolerance.</t>
  </si>
  <si>
    <t xml:space="preserve">GOVERN 1.4</t>
  </si>
  <si>
    <t xml:space="preserve">The risk management process and its outcomes are established through transparent policies, procedures, and other controls based on organizational risk priorities.</t>
  </si>
  <si>
    <t xml:space="preserve">GOVERN 1.5</t>
  </si>
  <si>
    <t xml:space="preserve">Ongoing monitoring and periodic review of the risk management process and its outcomes are planned and organizational roles and responsibilities clearly defined, including determining the frequency of periodic review.</t>
  </si>
  <si>
    <t xml:space="preserve">GOVERN 1.6</t>
  </si>
  <si>
    <t xml:space="preserve">Mechanisms are in place to inventory AI systems and are resourced according to organizational risk priorities.</t>
  </si>
  <si>
    <t xml:space="preserve">GOVERN 1.7</t>
  </si>
  <si>
    <t xml:space="preserve">Processes and procedures are in place for decommissioning and phasing out AI systems safely and in a manner that does not increase risks or decrease the organization's trustworthiness.</t>
  </si>
  <si>
    <t xml:space="preserve">GOVERN 2.1</t>
  </si>
  <si>
    <t xml:space="preserve">Roles and responsibilities and lines of communication related to mapping, measuring, and managing AI risks are documented and are clear to individuals and teams throughout the organization.</t>
  </si>
  <si>
    <t xml:space="preserve">GOVERN 2.2</t>
  </si>
  <si>
    <t xml:space="preserve">The organization's personnel and partners receive AI risk management training to enable them to perform their duties and responsibilities consistent with related policies, procedures, and agreements.</t>
  </si>
  <si>
    <t xml:space="preserve">GOVERN 2.3</t>
  </si>
  <si>
    <t xml:space="preserve">Executive leadership of the organization takes responsibility for decisions about risks associated with AI system development and deployment.</t>
  </si>
  <si>
    <t xml:space="preserve">GOVERN 3.1</t>
  </si>
  <si>
    <t xml:space="preserve">Decision-making related to mapping, measuring, and managing AI risks throughout the lifecycle is informed by a diverse team (e.g., diversity of demographics, disciplines, experience, expertise, and backgrounds).</t>
  </si>
  <si>
    <t xml:space="preserve">GOVERN 3.2</t>
  </si>
  <si>
    <t xml:space="preserve">Policies and procedures are in place to define and differentiate roles and responsibilities for human-AI configurations and oversight of AI systems.</t>
  </si>
  <si>
    <t xml:space="preserve">GOVERN 4.1</t>
  </si>
  <si>
    <t xml:space="preserve">Organizational policies and practices are in place to foster a critical thinking and safety-first mindset in the design, development, deployment, and uses of AI systems to minimize potential negative impacts.</t>
  </si>
  <si>
    <t xml:space="preserve">GOVERN 4.2</t>
  </si>
  <si>
    <t xml:space="preserve">Organizational teams document the risks and potential impacts of the AI technology they design, develop, deploy, evaluate, and use, and they communicate about the impacts more broadly.</t>
  </si>
  <si>
    <t xml:space="preserve">GOVERN 4.3</t>
  </si>
  <si>
    <t xml:space="preserve">Organizational practices are in place to enable AI testing, identification of incidents, and information sharing.</t>
  </si>
  <si>
    <t xml:space="preserve">GOVERN 5.1</t>
  </si>
  <si>
    <t xml:space="preserve">Organizational policies and practices are in place to collect, consider, prioritize, and integrate feedback from those external to the team that developed or deployed the AI system regarding the potential individual and societal impacts related to AI risks.</t>
  </si>
  <si>
    <t xml:space="preserve">GOVERN 5.2</t>
  </si>
  <si>
    <t xml:space="preserve">Mechanisms are established to enable the team that developed or deployed AI systems to regularly incorporate adjudicated feedback from relevant AI actors into system design and implementation.</t>
  </si>
  <si>
    <t xml:space="preserve">GOVERN 6.1</t>
  </si>
  <si>
    <t xml:space="preserve">Policies and procedures are in place that address AI risks associated with third-party entities, including risks of infringement of a third-party's intellectual property or other rights.</t>
  </si>
  <si>
    <t xml:space="preserve">GOVERN 6.2</t>
  </si>
  <si>
    <t xml:space="preserve">Contingency processes are in place to handle failures or incidents in third-party data or AI systems deemed to be high-risk.</t>
  </si>
  <si>
    <t xml:space="preserve">MAP</t>
  </si>
  <si>
    <t xml:space="preserve">MAP 1.1</t>
  </si>
  <si>
    <t xml:space="preserve">Intended purposes, potentially beneficial uses, context-specific laws, norms and expectations, and prospective settings in which the AI system will be deployed are understood and documented.</t>
  </si>
  <si>
    <t xml:space="preserve">MAP 1.2</t>
  </si>
  <si>
    <t xml:space="preserve">Interdisciplinary AI actors, competencies, skills, and capacities for establishing context reflect demographic diversity and broad domain and user experience expertise, and their participation is documented.</t>
  </si>
  <si>
    <t xml:space="preserve">MAP 1.3</t>
  </si>
  <si>
    <t xml:space="preserve">The organization's mission and relevant goals for AI technology are understood and documented.</t>
  </si>
  <si>
    <t xml:space="preserve">MAP 1.4</t>
  </si>
  <si>
    <t xml:space="preserve">The business value or context of business use has been clearly defined or, in the case of assessing existing AI systems, re-evaluated.</t>
  </si>
  <si>
    <t xml:space="preserve">MAP 1.5</t>
  </si>
  <si>
    <t xml:space="preserve">Organizational risk tolerances are determined and documented.</t>
  </si>
  <si>
    <t xml:space="preserve">MAP 1.6</t>
  </si>
  <si>
    <t xml:space="preserve">System requirements (e.g., "the system shall respect the privacy of its users") are elicited from and understood by relevant AI actors; design decisions take socio-technical implications into account to address AI risks.</t>
  </si>
  <si>
    <t xml:space="preserve">MAP 2.1</t>
  </si>
  <si>
    <t xml:space="preserve">The specific tasks and methods used to implement the tasks that the AI system will support are defined (e.g., classifiers, generative models, recommenders).</t>
  </si>
  <si>
    <t xml:space="preserve">MAP 2.2</t>
  </si>
  <si>
    <t xml:space="preserve">Information about the AI system's knowledge limits and how system output may be utilized and overseen by humans is documented; documentation provides sufficient information to assist relevant AI actors when making decisions and taking subsequent actions.</t>
  </si>
  <si>
    <t xml:space="preserve">MAP 2.3</t>
  </si>
  <si>
    <t xml:space="preserve">Scientific integrity and TEVV considerations are identified and documented, including those related to experimental design, data collection and selection, system trustworthiness, and construct validation.</t>
  </si>
  <si>
    <t xml:space="preserve">MAP 3.1</t>
  </si>
  <si>
    <t xml:space="preserve">Potential benefits of intended AI system functionality and performance are examined and documented.</t>
  </si>
  <si>
    <t xml:space="preserve">MAP 3.2</t>
  </si>
  <si>
    <t xml:space="preserve">Potential costs, including non-monetary costs, which result from expected or realized AI errors or system functionality and trustworthiness, as connected to organizational risk tolerance, are examined and documented.</t>
  </si>
  <si>
    <t xml:space="preserve">MAP 3.3</t>
  </si>
  <si>
    <t xml:space="preserve">Targeted application scope is specified and documented based on the system's capability, established context, and AI system categorization.</t>
  </si>
  <si>
    <t xml:space="preserve">MAP 3.4</t>
  </si>
  <si>
    <t xml:space="preserve">Processes for operator and practitioner proficiency with AI system performance and trustworthiness, and relevant technical standards and certifications, are defined, assessed, and documented.</t>
  </si>
  <si>
    <t xml:space="preserve">MAP 3.5</t>
  </si>
  <si>
    <t xml:space="preserve">Processes for human oversight are defined, assessed, and documented in accordance with organizational policies from the GOVERN function.</t>
  </si>
  <si>
    <t xml:space="preserve">MAP 4.1</t>
  </si>
  <si>
    <t xml:space="preserve">Approaches for mapping AI technology and legal risks of its components, including the use of third-party data or software, are in place, followed, and documented, as are risks of infringement of a third party's intellectual property or other rights.</t>
  </si>
  <si>
    <t xml:space="preserve">MAP 4.2</t>
  </si>
  <si>
    <t xml:space="preserve">Internal risk controls for components of the AI system, including third-party AI technologies, are identified and documented.</t>
  </si>
  <si>
    <t xml:space="preserve">MAP 5.1</t>
  </si>
  <si>
    <t xml:space="preserve">Likelihood and magnitude of each identified impact (both potentially beneficial and harmful) based on expected use, past uses of AI systems in similar contexts, public incident reports, feedback from those external to the team, or other data are identified and documented.</t>
  </si>
  <si>
    <t xml:space="preserve">MAP 5.2</t>
  </si>
  <si>
    <t xml:space="preserve">Practices and personnel for supporting regular engagement with relevant AI actors and integrating feedback about positive, negative, and unanticipated impacts are in place and documented.</t>
  </si>
  <si>
    <t xml:space="preserve">MEASURE</t>
  </si>
  <si>
    <t xml:space="preserve">MEASURE 1.1</t>
  </si>
  <si>
    <t xml:space="preserve">Approaches and metrics for measurement of AI risks enumerated during the MAP function are selected for implementation starting with the most significant AI risks; risks or trustworthiness characteristics that will not, or cannot, be measured are properly documented.</t>
  </si>
  <si>
    <t xml:space="preserve">MEASURE 1.2</t>
  </si>
  <si>
    <t xml:space="preserve">Appropriateness of AI metrics and effectiveness of existing controls are regularly assessed and updated, including reports of errors and potential impacts on affected communities.</t>
  </si>
  <si>
    <t xml:space="preserve">MEASURE 1.3</t>
  </si>
  <si>
    <t xml:space="preserve">Internal experts who did not serve as front-line developers for the system and/or independent assessors are involved in regular assessments and updates; domain experts, users, external AI actors, and affected communities are consulted as necessary per organizational risk tolerance.</t>
  </si>
  <si>
    <t xml:space="preserve">MEASURE 2.1</t>
  </si>
  <si>
    <t xml:space="preserve">Test sets, metrics, and details about the tools used during TEVV are documented.</t>
  </si>
  <si>
    <t xml:space="preserve">MEASURE 2.2</t>
  </si>
  <si>
    <t xml:space="preserve">Evaluations involving human subjects meet applicable requirements (including human subject protection) and are representative of the relevant population.</t>
  </si>
  <si>
    <t xml:space="preserve">MEASURE 2.3</t>
  </si>
  <si>
    <t xml:space="preserve">AI system performance or assurance criteria are measured qualitatively or quantitatively and demonstrated for conditions similar to deployment setting(s); measures are documented.</t>
  </si>
  <si>
    <t xml:space="preserve">MEASURE 2.4</t>
  </si>
  <si>
    <t xml:space="preserve">The functionality and behavior of the AI system and its components, as identified in the MAP function, are monitored when in production.</t>
  </si>
  <si>
    <t xml:space="preserve">MEASURE 2.5</t>
  </si>
  <si>
    <t xml:space="preserve">The AI system to be deployed is demonstrated to be valid and reliable; limitations of the generalizability beyond the conditions under which the technology was developed are documented.</t>
  </si>
  <si>
    <t xml:space="preserve">MEASURE 2.6</t>
  </si>
  <si>
    <t xml:space="preserve">The AI system is evaluated regularly for safety risks; the AI system to be deployed is demonstrated to be safe, its residual negative risk does not exceed the risk tolerance, and it can fail safely, particularly if made to operate beyond its knowledge limits.</t>
  </si>
  <si>
    <t xml:space="preserve">MEASURE 2.7</t>
  </si>
  <si>
    <t xml:space="preserve">AI system security and resilience, as identified in the MAP function, are evaluated and documented.</t>
  </si>
  <si>
    <t xml:space="preserve">MEASURE 2.8</t>
  </si>
  <si>
    <t xml:space="preserve">Risks associated with transparency and accountability, as identified in the MAP function, are examined and documented.</t>
  </si>
  <si>
    <t xml:space="preserve">MEASURE 2.9</t>
  </si>
  <si>
    <t xml:space="preserve">The AI model is explained, validated, and documented, and AI system output is interpreted within its context, as identified in the MAP function, to inform responsible use and governance.</t>
  </si>
  <si>
    <t xml:space="preserve">MEASURE 2.10</t>
  </si>
  <si>
    <t xml:space="preserve">Privacy risk of the AI system, as identified in the MAP function, is examined and documented.</t>
  </si>
  <si>
    <t xml:space="preserve">MEASURE 2.11</t>
  </si>
  <si>
    <t xml:space="preserve">Fairness and bias, as identified in the MAP function, are evaluated and results are documented.</t>
  </si>
  <si>
    <t xml:space="preserve">MEASURE 2.12</t>
  </si>
  <si>
    <t xml:space="preserve">Environmental impact and sustainability of AI model training and management activities, as identified in the MAP function, are assessed and documented.</t>
  </si>
  <si>
    <t xml:space="preserve">MEASURE 2.13</t>
  </si>
  <si>
    <t xml:space="preserve">Effectiveness of the employed TEVV metrics and processes in the MEASURE function are evaluated and documented.</t>
  </si>
  <si>
    <t xml:space="preserve">MEASURE 3.1</t>
  </si>
  <si>
    <t xml:space="preserve">Approaches, personnel, and documentation are in place to regularly identify and track existing, unanticipated, and emergent AI risks based on factors such as intended and actual performance in deployed contexts.</t>
  </si>
  <si>
    <t xml:space="preserve">MEASURE 3.2</t>
  </si>
  <si>
    <t xml:space="preserve">Risk-tracking approaches are considered for settings where AI risks are difficult to assess using currently available measurement techniques or where metrics are not yet available.</t>
  </si>
  <si>
    <t xml:space="preserve">MEASURE 3.3</t>
  </si>
  <si>
    <t xml:space="preserve">Feedback processes for end users and impacted communities to report problems and appeal system outcomes are established and integrated into AI system evaluation metrics.</t>
  </si>
  <si>
    <t xml:space="preserve">MEASURE 4.1</t>
  </si>
  <si>
    <t xml:space="preserve">Measurement approaches for identifying AI risks are connected to deployment context(s) and informed through consultation with domain experts and other end users; approaches are documented.</t>
  </si>
  <si>
    <t xml:space="preserve">MEASURE 4.2</t>
  </si>
  <si>
    <t xml:space="preserve">Measurement results regarding AI system trustworthiness in deployment context(s) and across the AI lifecycle are informed by input from domain experts and relevant AI actors to validate whether the system is performing consistently as intended; results are documented.</t>
  </si>
  <si>
    <t xml:space="preserve">MEASURE 4.3</t>
  </si>
  <si>
    <t xml:space="preserve">Measurable performance improvements or declines based on consultations with relevant AI actors, including affected communities, and field data about context-relevant risks and trustworthiness characteristics are identified and documented.</t>
  </si>
  <si>
    <t xml:space="preserve">MANAGE</t>
  </si>
  <si>
    <t xml:space="preserve">MANAGE 1.1</t>
  </si>
  <si>
    <t xml:space="preserve">A determination is made as to whether the AI system achieves its intended purposes and stated objectives and whether its development or deployment should proceed.</t>
  </si>
  <si>
    <t xml:space="preserve">MANAGE 1.2</t>
  </si>
  <si>
    <t xml:space="preserve">Treatment of documented AI risks is prioritized based on impact, likelihood, and available resources or methods.</t>
  </si>
  <si>
    <t xml:space="preserve">MANAGE 1.3</t>
  </si>
  <si>
    <t xml:space="preserve">Responses to the AI risks deemed high priority, as identified by the MAP function, are developed, planned, and documented; risk response options can include mitigating, transferring, avoiding, or accepting.</t>
  </si>
  <si>
    <t xml:space="preserve">MANAGE 1.4</t>
  </si>
  <si>
    <t xml:space="preserve">Negative residual risks (defined as the sum of all unmitigated risks) to both downstream acquirers of AI systems and end users are documented.</t>
  </si>
  <si>
    <t xml:space="preserve">MANAGE 2.1</t>
  </si>
  <si>
    <t xml:space="preserve">Resources required to manage AI risks are taken into account, along with viable non-AI alternative systems, approaches, or methods, to reduce the magnitude or likelihood of potential impacts.</t>
  </si>
  <si>
    <t xml:space="preserve">MANAGE 2.2</t>
  </si>
  <si>
    <t xml:space="preserve">Mechanisms are in place and applied to sustain the value of deployed AI systems.</t>
  </si>
  <si>
    <t xml:space="preserve">MANAGE 2.3</t>
  </si>
  <si>
    <t xml:space="preserve">Procedures are followed to respond to and recover from a previously unknown risk when it is identified.</t>
  </si>
  <si>
    <t xml:space="preserve">MANAGE 2.4</t>
  </si>
  <si>
    <t xml:space="preserve">Mechanisms are in place and applied, and responsibilities are assigned and understood, to supersede, disengage, or deactivate AI systems that demonstrate performance or outcomes inconsistent with intended use.</t>
  </si>
  <si>
    <t xml:space="preserve">MANAGE 3.1</t>
  </si>
  <si>
    <t xml:space="preserve">AI risks and benefits from third-party resources are regularly monitored, and risk controls are applied and documented.</t>
  </si>
  <si>
    <t xml:space="preserve">MANAGE 3.2</t>
  </si>
  <si>
    <t xml:space="preserve">Pre-trained models which are used for development are monitored as part of AI system regular monitoring and maintenance.</t>
  </si>
  <si>
    <t xml:space="preserve">MANAGE 4.1</t>
  </si>
  <si>
    <t xml:space="preserve">Post-deployment AI system monitoring plans are implemented, including mechanisms for capturing and evaluating input from users and other relevant AI actors, appeal and override, decommissioning, incident response, recovery, and change management.</t>
  </si>
  <si>
    <t xml:space="preserve">MANAGE 4.2</t>
  </si>
  <si>
    <t xml:space="preserve">Measurable activities for continual improvements are integrated into AI system updates and include regular engagement with interested parties, including relevant AI actors.</t>
  </si>
  <si>
    <t xml:space="preserve">MANAGE 4.3</t>
  </si>
  <si>
    <t xml:space="preserve">Incidents and errors are communicated to relevant AI actors, including affected communities; processes for tracking, responding to, and recovering from incidents and errors are followed and documented.</t>
  </si>
  <si>
    <t xml:space="preserve">Template 3 - Target State &amp; Priorities</t>
  </si>
  <si>
    <t xml:space="preserve">Current Score is pulled automatically from Template 2. Set your Target Score and Priority. See Handbook Walkthrough E.</t>
  </si>
  <si>
    <t xml:space="preserve">Current
Score</t>
  </si>
  <si>
    <t xml:space="preserve">Target
Score (0-4)</t>
  </si>
  <si>
    <t xml:space="preserve">Priority</t>
  </si>
  <si>
    <t xml:space="preserve">Target Date</t>
  </si>
  <si>
    <t xml:space="preserve">Rationale / Business Driver</t>
  </si>
  <si>
    <t xml:space="preserve">Owner</t>
  </si>
  <si>
    <t xml:space="preserve">High</t>
  </si>
  <si>
    <t xml:space="preserve">2026-12-31</t>
  </si>
  <si>
    <t xml:space="preserve">Upcoming EU AI Act obligations make a formal quarterly legal-review cadence necessary (EXAMPLE)</t>
  </si>
  <si>
    <t xml:space="preserve">Legal / M. Chen</t>
  </si>
  <si>
    <t xml:space="preserve">Gap and Gap Category are calculated automatically from Templates 2 and 3. See Handbook Walkthrough F.</t>
  </si>
  <si>
    <t xml:space="preserve">Target
Score</t>
  </si>
  <si>
    <t xml:space="preserve">Gap</t>
  </si>
  <si>
    <t xml:space="preserve">Gap Category</t>
  </si>
  <si>
    <t xml:space="preserve">Root Cause / Contributing Factors</t>
  </si>
  <si>
    <t xml:space="preserve">Recommended Action</t>
  </si>
  <si>
    <t xml:space="preserve">No owner assigned for tracking new AI regulation; done informally by whoever notices (EXAMPLE)</t>
  </si>
  <si>
    <t xml:space="preserve">Assign Legal as formal owner; add quarterly regulatory-scan to Template 12</t>
  </si>
  <si>
    <t xml:space="preserve">Log every piece of evidence as you gather it — do not reconstruct from memory later. See Handbook Walkthrough C.</t>
  </si>
  <si>
    <t xml:space="preserve">Evidence ID</t>
  </si>
  <si>
    <t xml:space="preserve">Date / Time</t>
  </si>
  <si>
    <t xml:space="preserve">Source (Person / Document)</t>
  </si>
  <si>
    <t xml:space="preserve">Subcategory Ref</t>
  </si>
  <si>
    <t xml:space="preserve">Description of Evidence Examined</t>
  </si>
  <si>
    <t xml:space="preserve">Supports</t>
  </si>
  <si>
    <t xml:space="preserve">EV-001 (EXAMPLE)</t>
  </si>
  <si>
    <t xml:space="preserve">2026-09-15 10:20</t>
  </si>
  <si>
    <t xml:space="preserve">Interview: J. Alvarez, ML Lead</t>
  </si>
  <si>
    <t xml:space="preserve">Walked through the impact-identification worksheet and 2 completed examples for ScreenSmart v3</t>
  </si>
  <si>
    <t xml:space="preserve">Supports Current-State Score</t>
  </si>
  <si>
    <t xml:space="preserve">Template 6 - Findings &amp; Risk Tracker</t>
  </si>
  <si>
    <t xml:space="preserve">Priority-based tracking (not major/minor nonconformity grading — there is no certification scheme for AI RMF). See Handbook Walkthrough G.</t>
  </si>
  <si>
    <t xml:space="preserve">Finding ID</t>
  </si>
  <si>
    <t xml:space="preserve">Date Raised</t>
  </si>
  <si>
    <t xml:space="preserve">Subcategory
Ref</t>
  </si>
  <si>
    <t xml:space="preserve">Finding Description</t>
  </si>
  <si>
    <t xml:space="preserve">Evidence / Basis</t>
  </si>
  <si>
    <t xml:space="preserve">Likelihood
(1-5)</t>
  </si>
  <si>
    <t xml:space="preserve">Impact
(1-5)</t>
  </si>
  <si>
    <t xml:space="preserve">Risk
Score</t>
  </si>
  <si>
    <t xml:space="preserve">Status</t>
  </si>
  <si>
    <t xml:space="preserve">F-001</t>
  </si>
  <si>
    <t xml:space="preserve">2026-09-15</t>
  </si>
  <si>
    <t xml:space="preserve">Impact identification is performed for new AI systems but is not re-run when an existing system's use case materially changes.</t>
  </si>
  <si>
    <t xml:space="preserve">Reviewed impact worksheets for 5 systems; 2 of 5 had expanded scope since original assessment with no updated worksheet (EXAMPLE)</t>
  </si>
  <si>
    <t xml:space="preserve">Add a change-triggered re-assessment step to the AI system inventory process (GOVERN 1.6)</t>
  </si>
  <si>
    <t xml:space="preserve">T. Nguyen</t>
  </si>
  <si>
    <t xml:space="preserve">2026-11-30</t>
  </si>
  <si>
    <t xml:space="preserve">Open</t>
  </si>
  <si>
    <t xml:space="preserve">Template 7 - Stakeholder Interview &amp; Workshop Agenda</t>
  </si>
  <si>
    <t xml:space="preserve">See Handbook Walkthrough B.</t>
  </si>
  <si>
    <t xml:space="preserve">KICKOFF / OPENING SESSION</t>
  </si>
  <si>
    <t xml:space="preserve">Attendees (Assessment Team)</t>
  </si>
  <si>
    <t xml:space="preserve">Attendees (Stakeholders)</t>
  </si>
  <si>
    <t xml:space="preserve">Agenda / Discussion Points</t>
  </si>
  <si>
    <t xml:space="preserve">•</t>
  </si>
  <si>
    <t xml:space="preserve">Introduce assessment team and confirm attendees</t>
  </si>
  <si>
    <t xml:space="preserve">Reconfirm objectives, scope, and criteria (Template 1)</t>
  </si>
  <si>
    <t xml:space="preserve">Explain the assessment method: current-state scoring, evidence review, gap analysis, and roadmap</t>
  </si>
  <si>
    <t xml:space="preserve">Confirm confidentiality expectations and how findings will be communicated (priority-based, not certification grading)</t>
  </si>
  <si>
    <t xml:space="preserve">Confirm logistics: document access, interviewee availability, workshop schedule</t>
  </si>
  <si>
    <t xml:space="preserve">Record any last-minute scope changes raised by stakeholders</t>
  </si>
  <si>
    <t xml:space="preserve">Key Notes</t>
  </si>
  <si>
    <t xml:space="preserve">Assessment Lead (name/date)</t>
  </si>
  <si>
    <t xml:space="preserve">Executive Sponsor (name/date)</t>
  </si>
  <si>
    <t xml:space="preserve">CLOSING / DEBRIEF SESSION</t>
  </si>
  <si>
    <t xml:space="preserve">Restate scope and functions/categories actually covered; note any areas not sampled</t>
  </si>
  <si>
    <t xml:space="preserve">Walk through the highest-priority findings and gaps identified (Templates 4 and 6)</t>
  </si>
  <si>
    <t xml:space="preserve">Allow stakeholders to provide additional context or evidence on the spot</t>
  </si>
  <si>
    <t xml:space="preserve">Discuss the draft remediation roadmap and realistic target dates</t>
  </si>
  <si>
    <t xml:space="preserve">Confirm next steps and the reassessment cadence (Template 12)</t>
  </si>
  <si>
    <t xml:space="preserve">Template 8 - Assessment Report Summary</t>
  </si>
  <si>
    <t xml:space="preserve">See Handbook Walkthrough K. Attach Templates 2-6 as supporting working papers. No certification decision is being made here.</t>
  </si>
  <si>
    <t xml:space="preserve">Scope of Assessment</t>
  </si>
  <si>
    <t xml:space="preserve">Assessment Team</t>
  </si>
  <si>
    <t xml:space="preserve">Functions / Categories Covered</t>
  </si>
  <si>
    <t xml:space="preserve">Limitations / Areas Not Sampled</t>
  </si>
  <si>
    <t xml:space="preserve">Executive Summary &amp; Overall Self-Assessed Posture</t>
  </si>
  <si>
    <t xml:space="preserve">Recommended Next Steps</t>
  </si>
  <si>
    <t xml:space="preserve">Findings Summary by Priority</t>
  </si>
  <si>
    <t xml:space="preserve">Count</t>
  </si>
  <si>
    <t xml:space="preserve">Finding IDs (from Template 6)</t>
  </si>
  <si>
    <t xml:space="preserve">Critical</t>
  </si>
  <si>
    <t xml:space="preserve">Medium</t>
  </si>
  <si>
    <t xml:space="preserve">Low</t>
  </si>
  <si>
    <t xml:space="preserve">Assessment Lead Signature / Date</t>
  </si>
  <si>
    <t xml:space="preserve">Executive Sponsor Signature / Date</t>
  </si>
  <si>
    <t xml:space="preserve">Note: This report documents the organization's own self-assessment against the voluntary NIST AI RMF 1.0. It is not a certification audit report, is not issued by an accredited certification body, and does not constitute or imply certification.</t>
  </si>
  <si>
    <t xml:space="preserve">Template 9 - Remediation Roadmap Tracker</t>
  </si>
  <si>
    <t xml:space="preserve">Track each gap/finding from action plan through to completion. See Handbook Walkthrough H.</t>
  </si>
  <si>
    <t xml:space="preserve">Ref
(Tmpl 4/6)</t>
  </si>
  <si>
    <t xml:space="preserve">Subcategory</t>
  </si>
  <si>
    <t xml:space="preserve">Gap / Finding</t>
  </si>
  <si>
    <t xml:space="preserve">Remediation Action</t>
  </si>
  <si>
    <t xml:space="preserve">Start Date</t>
  </si>
  <si>
    <t xml:space="preserve">Target
Completion</t>
  </si>
  <si>
    <t xml:space="preserve">%
Complete</t>
  </si>
  <si>
    <t xml:space="preserve">Notes</t>
  </si>
  <si>
    <t xml:space="preserve">Impact identification not re-run on material use-case change</t>
  </si>
  <si>
    <t xml:space="preserve">Add change-triggered re-assessment step to AI system inventory process</t>
  </si>
  <si>
    <t xml:space="preserve">2026-10-01</t>
  </si>
  <si>
    <t xml:space="preserve">In Progress</t>
  </si>
  <si>
    <t xml:space="preserve">Draft process change circulated for review (EXAMPLE)</t>
  </si>
  <si>
    <t xml:space="preserve">Template 10 - AI Risk Register</t>
  </si>
  <si>
    <t xml:space="preserve">A living record maintained across assessment cycles. See Handbook Walkthrough I.</t>
  </si>
  <si>
    <t xml:space="preserve">AI System Name</t>
  </si>
  <si>
    <t xml:space="preserve">Purpose / Description</t>
  </si>
  <si>
    <t xml:space="preserve">Risk Category</t>
  </si>
  <si>
    <t xml:space="preserve">Risk Description</t>
  </si>
  <si>
    <t xml:space="preserve">Risk Rating
(L x I)</t>
  </si>
  <si>
    <t xml:space="preserve">Existing Controls</t>
  </si>
  <si>
    <t xml:space="preserve">Residual
Rating</t>
  </si>
  <si>
    <t xml:space="preserve">Last Reviewed</t>
  </si>
  <si>
    <t xml:space="preserve">ScreenSmart v3 (EXAMPLE)</t>
  </si>
  <si>
    <t xml:space="preserve">AI-powered resume/candidate screening model</t>
  </si>
  <si>
    <t xml:space="preserve">Individual impact</t>
  </si>
  <si>
    <t xml:space="preserve">Potential bias against protected groups in screening scores</t>
  </si>
  <si>
    <t xml:space="preserve">Bias testing pre-release; human review of rejections; MAP 5.1 impact identification</t>
  </si>
  <si>
    <t xml:space="preserve">2026-09-16</t>
  </si>
  <si>
    <t xml:space="preserve">Template 11 - Generative AI Risk Supplement</t>
  </si>
  <si>
    <t xml:space="preserve">The 12 generative-AI-specific risks from NIST AI 600-1 (Generative AI Profile), mapped to relevant AI RMF subcategories. See Handbook Walkthrough J.</t>
  </si>
  <si>
    <t xml:space="preserve">GAI Risk (NIST AI 600-1)</t>
  </si>
  <si>
    <t xml:space="preserve">Description</t>
  </si>
  <si>
    <t xml:space="preserve">Applicable?
(Y/N)</t>
  </si>
  <si>
    <t xml:space="preserve">Relevant AI RMF Subcategories</t>
  </si>
  <si>
    <t xml:space="preserve">Current Controls</t>
  </si>
  <si>
    <t xml:space="preserve">Residual
Risk</t>
  </si>
  <si>
    <t xml:space="preserve">Confabulation ("Hallucination") (EXAMPLE)</t>
  </si>
  <si>
    <t xml:space="preserve">Production of confidently stated but erroneous or false content not grounded in training data or context.</t>
  </si>
  <si>
    <t xml:space="preserve">Y</t>
  </si>
  <si>
    <t xml:space="preserve">MAP 2.2, MEASURE 2.5, MEASURE 2.9</t>
  </si>
  <si>
    <t xml:space="preserve">Retrieval-augmented generation with citation checking; human review of high-stakes outputs</t>
  </si>
  <si>
    <t xml:space="preserve">Dr. S. Patel</t>
  </si>
  <si>
    <t xml:space="preserve">Applies to the internal support chatbot (EXAMPLE)</t>
  </si>
  <si>
    <t xml:space="preserve">CBRN Information or Capabilities</t>
  </si>
  <si>
    <t xml:space="preserve">Eased access to or synthesis of materially nefarious information or design capabilities related to chemical, biological, radiological, or nuclear (CBRN) weapons.</t>
  </si>
  <si>
    <t xml:space="preserve">GOVERN 1.1, MAP 5.1, MEASURE 2.6</t>
  </si>
  <si>
    <t xml:space="preserve">Confabulation ("Hallucination")</t>
  </si>
  <si>
    <t xml:space="preserve">Production of confidently stated but erroneous or false content ("hallucinated" facts, citations, or reasoning) that is not grounded in training data or context.</t>
  </si>
  <si>
    <t xml:space="preserve">Dangerous, Violent, or Hateful Content</t>
  </si>
  <si>
    <t xml:space="preserve">Eased production of content that incites, radicalizes, or provides instructions for violence, or that demeans or dehumanizes individuals or groups.</t>
  </si>
  <si>
    <t xml:space="preserve">GOVERN 4.1, MEASURE 2.6, MEASURE 2.11</t>
  </si>
  <si>
    <t xml:space="preserve">Data Privacy</t>
  </si>
  <si>
    <t xml:space="preserve">Leakage or unauthorized inference/disclosure of private or sensitive information, including data used to train, fine-tune, or prompt the model.</t>
  </si>
  <si>
    <t xml:space="preserve">GOVERN 1.1, MAP 1.1, MEASURE 2.10</t>
  </si>
  <si>
    <t xml:space="preserve">Environmental Impacts</t>
  </si>
  <si>
    <t xml:space="preserve">High compute, energy, and water resource usage in training or operating generative AI models, with downstream environmental and sustainability effects.</t>
  </si>
  <si>
    <t xml:space="preserve">MEASURE 2.12, MANAGE 2.1</t>
  </si>
  <si>
    <t xml:space="preserve">Harmful Bias or Homogenization</t>
  </si>
  <si>
    <t xml:space="preserve">Amplification or perpetuation of harmful stereotypes, disparate model performance across groups, or a homogenization of outputs, opinions, or viewpoints.</t>
  </si>
  <si>
    <t xml:space="preserve">MAP 5.1, MEASURE 2.11, GOVERN 3.1</t>
  </si>
  <si>
    <t xml:space="preserve">Human-AI Configuration</t>
  </si>
  <si>
    <t xml:space="preserve">Risks from how humans interact with, oversee, and rely on generative AI, including automation bias, anthropomorphization, and unclear human-AI role division.</t>
  </si>
  <si>
    <t xml:space="preserve">GOVERN 3.2, MAP 3.5, MEASURE 2.6</t>
  </si>
  <si>
    <t xml:space="preserve">Information Integrity</t>
  </si>
  <si>
    <t xml:space="preserve">Eased production and distribution of false, inaccurate, or misleading content at scale, including synthetic media used for disinformation.</t>
  </si>
  <si>
    <t xml:space="preserve">MEASURE 2.8, MAP 5.1, GOVERN 4.2</t>
  </si>
  <si>
    <t xml:space="preserve">Information Security</t>
  </si>
  <si>
    <t xml:space="preserve">Lowered barriers for cyberattacks, including generation of malicious code, or new vulnerabilities introduced by the AI system itself (e.g., prompt injection).</t>
  </si>
  <si>
    <t xml:space="preserve">MEASURE 2.7, GOVERN 1.1</t>
  </si>
  <si>
    <t xml:space="preserve">Intellectual Property</t>
  </si>
  <si>
    <t xml:space="preserve">Generation of content that infringes copyright, trademark, or other IP rights, or reveals trade secrets embedded in training data.</t>
  </si>
  <si>
    <t xml:space="preserve">GOVERN 6.1, MAP 4.1</t>
  </si>
  <si>
    <t xml:space="preserve">Obscene, Degrading, or Abusive Content</t>
  </si>
  <si>
    <t xml:space="preserve">Eased production of non-consensual intimate imagery, child sexual abuse material, or other obscene/abusive content.</t>
  </si>
  <si>
    <t xml:space="preserve">GOVERN 4.1, MEASURE 2.6</t>
  </si>
  <si>
    <t xml:space="preserve">Value Chain and Component Integration</t>
  </si>
  <si>
    <t xml:space="preserve">Risks introduced by non-transparent or vulnerable upstream components (e.g., third-party foundation models, plugins, or datasets) integrated into the AI system.</t>
  </si>
  <si>
    <t xml:space="preserve">GOVERN 6.1, GOVERN 6.2, MAP 4.2, MANAGE 3.1</t>
  </si>
  <si>
    <t xml:space="preserve">Template 12 - Reassessment Schedule</t>
  </si>
  <si>
    <t xml:space="preserve">Plan when each Function/Category is next due for reassessment, especially as generative AI use grows. See Handbook Walkthrough L.</t>
  </si>
  <si>
    <t xml:space="preserve">Last Assessed</t>
  </si>
  <si>
    <t xml:space="preserve">Next Scheduled</t>
  </si>
  <si>
    <t xml:space="preserve">Trigger</t>
  </si>
  <si>
    <t xml:space="preserve">GOVERN 1 (EXAMPLE)</t>
  </si>
  <si>
    <t xml:space="preserve">2026-09-25</t>
  </si>
  <si>
    <t xml:space="preserve">2027-03-25</t>
  </si>
  <si>
    <t xml:space="preserve">Scheduled Cycle (6 months)</t>
  </si>
  <si>
    <t xml:space="preserve">Revisit sooner if EU AI Act guidance changes (EXAMPLE)</t>
  </si>
  <si>
    <t xml:space="preserve">GOVERN 1</t>
  </si>
  <si>
    <t xml:space="preserve">GOVERN 2</t>
  </si>
  <si>
    <t xml:space="preserve">GOVERN 3</t>
  </si>
  <si>
    <t xml:space="preserve">GOVERN 4</t>
  </si>
  <si>
    <t xml:space="preserve">GOVERN 5</t>
  </si>
  <si>
    <t xml:space="preserve">GOVERN 6</t>
  </si>
  <si>
    <t xml:space="preserve">MAP 1</t>
  </si>
  <si>
    <t xml:space="preserve">MAP 2</t>
  </si>
  <si>
    <t xml:space="preserve">MAP 3</t>
  </si>
  <si>
    <t xml:space="preserve">MAP 4</t>
  </si>
  <si>
    <t xml:space="preserve">MAP 5</t>
  </si>
  <si>
    <t xml:space="preserve">MEASURE 1</t>
  </si>
  <si>
    <t xml:space="preserve">MEASURE 2</t>
  </si>
  <si>
    <t xml:space="preserve">MEASURE 3</t>
  </si>
  <si>
    <t xml:space="preserve">MEASURE 4</t>
  </si>
  <si>
    <t xml:space="preserve">MANAGE 1</t>
  </si>
  <si>
    <t xml:space="preserve">MANAGE 2</t>
  </si>
  <si>
    <t xml:space="preserve">MANAGE 3</t>
  </si>
  <si>
    <t xml:space="preserve">MANAGE 4</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</si>
</sst>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1F3864"/>
      <name val="Calibri"/>
      <family val="0"/>
      <charset val="1"/>
    </font>
    <font>
      <i val="true"/>
      <sz val="10"/>
      <color rgb="FF595959"/>
      <name val="Calibri"/>
      <family val="0"/>
      <charset val="1"/>
    </font>
    <font>
      <b val="true"/>
      <sz val="12"/>
      <color rgb="FF1F3864"/>
      <name val="Calibri"/>
      <family val="0"/>
      <charset val="1"/>
    </font>
    <font>
      <b val="true"/>
      <sz val="13"/>
      <color rgb="FF2E5395"/>
      <name val="Calibri"/>
      <family val="0"/>
      <charset val="1"/>
    </font>
    <font>
      <b val="true"/>
      <sz val="10"/>
      <name val="Calibri"/>
      <family val="0"/>
      <charset val="1"/>
    </font>
    <font>
      <sz val="10"/>
      <name val="Calibri"/>
      <family val="0"/>
      <charset val="1"/>
    </font>
    <font>
      <b val="true"/>
      <sz val="11"/>
      <color rgb="FFFFFFFF"/>
      <name val="Calibri"/>
      <family val="0"/>
      <charset val="1"/>
    </font>
    <font>
      <sz val="10"/>
      <color rgb="FF000000"/>
      <name val="Calibri"/>
      <family val="0"/>
      <charset val="1"/>
    </font>
    <font>
      <i val="true"/>
      <sz val="10"/>
      <color rgb="FF000000"/>
      <name val="Calibri"/>
      <family val="0"/>
      <charset val="1"/>
    </font>
    <font>
      <sz val="10"/>
      <name val="Arial"/>
      <family val="2"/>
    </font>
    <font>
      <b val="true"/>
      <sz val="13"/>
      <color rgb="FFFFFFFF"/>
      <name val="Calibri"/>
      <family val="0"/>
      <charset val="1"/>
    </font>
    <font>
      <b val="true"/>
      <sz val="10"/>
      <color rgb="FF000000"/>
      <name val="Calibri"/>
      <family val="0"/>
      <charset val="1"/>
    </font>
    <font>
      <i val="true"/>
      <sz val="9"/>
      <color rgb="FF595959"/>
      <name val="Calibri"/>
      <family val="0"/>
      <charset val="1"/>
    </font>
  </fonts>
  <fills count="7">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FF"/>
        <bgColor rgb="FFF2F2F2"/>
      </patternFill>
    </fill>
    <fill>
      <patternFill patternType="solid">
        <fgColor rgb="FFDCE6F1"/>
        <bgColor rgb="FFF2F2F2"/>
      </patternFill>
    </fill>
    <fill>
      <patternFill patternType="solid">
        <fgColor rgb="FF2E5395"/>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4" fillId="6" borderId="0"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5"/>
  </cols>
  <sheetData>
    <row r="1" customFormat="false" ht="27.75" hidden="false" customHeight="true" outlineLevel="0" collapsed="false">
      <c r="A1" s="1" t="s">
        <v>0</v>
      </c>
      <c r="B1" s="1"/>
    </row>
    <row r="2" customFormat="false" ht="18" hidden="false" customHeight="true" outlineLevel="0" collapsed="false">
      <c r="A2" s="2" t="s">
        <v>1</v>
      </c>
      <c r="B2" s="2"/>
    </row>
    <row r="4" customFormat="false" ht="15" hidden="false" customHeight="false" outlineLevel="0" collapsed="false">
      <c r="A4" s="3" t="s">
        <v>2</v>
      </c>
    </row>
    <row r="5" customFormat="false" ht="69.75" hidden="false" customHeight="true" outlineLevel="0" collapsed="false">
      <c r="A5" s="4" t="s">
        <v>3</v>
      </c>
      <c r="B5" s="4"/>
    </row>
    <row r="7" customFormat="false" ht="16.15" hidden="false" customHeight="false" outlineLevel="0" collapsed="false">
      <c r="A7" s="5" t="s">
        <v>4</v>
      </c>
    </row>
    <row r="8" customFormat="false" ht="33.75" hidden="false" customHeight="true" outlineLevel="0" collapsed="false">
      <c r="A8" s="6" t="s">
        <v>5</v>
      </c>
      <c r="B8" s="7" t="s">
        <v>6</v>
      </c>
    </row>
    <row r="10" customFormat="false" ht="33.75" hidden="false" customHeight="true" outlineLevel="0" collapsed="false">
      <c r="A10" s="6" t="s">
        <v>7</v>
      </c>
      <c r="B10" s="7" t="s">
        <v>8</v>
      </c>
    </row>
    <row r="12" customFormat="false" ht="33.75" hidden="false" customHeight="true" outlineLevel="0" collapsed="false">
      <c r="A12" s="6" t="s">
        <v>9</v>
      </c>
      <c r="B12" s="7" t="s">
        <v>10</v>
      </c>
    </row>
    <row r="14" customFormat="false" ht="33.75" hidden="false" customHeight="true" outlineLevel="0" collapsed="false">
      <c r="A14" s="6" t="s">
        <v>11</v>
      </c>
      <c r="B14" s="7" t="s">
        <v>12</v>
      </c>
    </row>
    <row r="16" customFormat="false" ht="33.75" hidden="false" customHeight="true" outlineLevel="0" collapsed="false">
      <c r="A16" s="6" t="s">
        <v>13</v>
      </c>
      <c r="B16" s="7" t="s">
        <v>14</v>
      </c>
    </row>
    <row r="18" customFormat="false" ht="33.75" hidden="false" customHeight="true" outlineLevel="0" collapsed="false">
      <c r="A18" s="6" t="s">
        <v>15</v>
      </c>
      <c r="B18" s="7" t="s">
        <v>16</v>
      </c>
    </row>
    <row r="20" customFormat="false" ht="33.75" hidden="false" customHeight="true" outlineLevel="0" collapsed="false">
      <c r="A20" s="6" t="s">
        <v>17</v>
      </c>
      <c r="B20" s="7" t="s">
        <v>18</v>
      </c>
    </row>
    <row r="22" customFormat="false" ht="33.75" hidden="false" customHeight="true" outlineLevel="0" collapsed="false">
      <c r="A22" s="6" t="s">
        <v>19</v>
      </c>
      <c r="B22" s="7" t="s">
        <v>20</v>
      </c>
    </row>
    <row r="25" customFormat="false" ht="16.15" hidden="false" customHeight="false" outlineLevel="0" collapsed="false">
      <c r="A25" s="5" t="s">
        <v>21</v>
      </c>
    </row>
    <row r="26" customFormat="false" ht="21.75" hidden="false" customHeight="true" outlineLevel="0" collapsed="false">
      <c r="A26" s="8" t="s">
        <v>22</v>
      </c>
      <c r="B26" s="8" t="s">
        <v>23</v>
      </c>
    </row>
    <row r="27" customFormat="false" ht="25.5" hidden="false" customHeight="true" outlineLevel="0" collapsed="false">
      <c r="A27" s="9" t="s">
        <v>24</v>
      </c>
      <c r="B27" s="9" t="s">
        <v>25</v>
      </c>
    </row>
    <row r="28" customFormat="false" ht="25.5" hidden="false" customHeight="true" outlineLevel="0" collapsed="false">
      <c r="A28" s="10" t="s">
        <v>26</v>
      </c>
      <c r="B28" s="10" t="s">
        <v>27</v>
      </c>
    </row>
    <row r="29" customFormat="false" ht="25.5" hidden="false" customHeight="true" outlineLevel="0" collapsed="false">
      <c r="A29" s="9" t="s">
        <v>28</v>
      </c>
      <c r="B29" s="9" t="s">
        <v>29</v>
      </c>
    </row>
    <row r="30" customFormat="false" ht="25.5" hidden="false" customHeight="true" outlineLevel="0" collapsed="false">
      <c r="A30" s="10" t="s">
        <v>30</v>
      </c>
      <c r="B30" s="10" t="s">
        <v>31</v>
      </c>
    </row>
    <row r="31" customFormat="false" ht="25.5" hidden="false" customHeight="true" outlineLevel="0" collapsed="false">
      <c r="A31" s="9" t="s">
        <v>32</v>
      </c>
      <c r="B31" s="9" t="s">
        <v>33</v>
      </c>
    </row>
    <row r="32" customFormat="false" ht="25.5" hidden="false" customHeight="true" outlineLevel="0" collapsed="false">
      <c r="A32" s="10" t="s">
        <v>34</v>
      </c>
      <c r="B32" s="10" t="s">
        <v>35</v>
      </c>
    </row>
    <row r="33" customFormat="false" ht="25.5" hidden="false" customHeight="true" outlineLevel="0" collapsed="false">
      <c r="A33" s="9" t="s">
        <v>36</v>
      </c>
      <c r="B33" s="9" t="s">
        <v>37</v>
      </c>
    </row>
    <row r="34" customFormat="false" ht="25.5" hidden="false" customHeight="true" outlineLevel="0" collapsed="false">
      <c r="A34" s="10" t="s">
        <v>38</v>
      </c>
      <c r="B34" s="10" t="s">
        <v>39</v>
      </c>
    </row>
    <row r="35" customFormat="false" ht="25.5" hidden="false" customHeight="true" outlineLevel="0" collapsed="false">
      <c r="A35" s="9" t="s">
        <v>40</v>
      </c>
      <c r="B35" s="9" t="s">
        <v>41</v>
      </c>
    </row>
    <row r="36" customFormat="false" ht="25.5" hidden="false" customHeight="true" outlineLevel="0" collapsed="false">
      <c r="A36" s="10" t="s">
        <v>42</v>
      </c>
      <c r="B36" s="10" t="s">
        <v>43</v>
      </c>
    </row>
    <row r="37" customFormat="false" ht="25.5" hidden="false" customHeight="true" outlineLevel="0" collapsed="false">
      <c r="A37" s="9" t="s">
        <v>44</v>
      </c>
      <c r="B37" s="9" t="s">
        <v>45</v>
      </c>
    </row>
    <row r="38" customFormat="false" ht="25.5" hidden="false" customHeight="true" outlineLevel="0" collapsed="false">
      <c r="A38" s="10" t="s">
        <v>46</v>
      </c>
      <c r="B38" s="10" t="s">
        <v>47</v>
      </c>
    </row>
  </sheetData>
  <mergeCells count="3">
    <mergeCell ref="A1:B1"/>
    <mergeCell ref="A2:B2"/>
    <mergeCell ref="A5:B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4" min="3" style="0" width="18"/>
    <col collapsed="false" customWidth="true" hidden="false" outlineLevel="0" max="5" min="5" style="0" width="30"/>
  </cols>
  <sheetData>
    <row r="1" customFormat="false" ht="27.75" hidden="false" customHeight="true" outlineLevel="0" collapsed="false">
      <c r="A1" s="1" t="s">
        <v>24</v>
      </c>
      <c r="B1" s="1"/>
      <c r="C1" s="1"/>
      <c r="D1" s="1"/>
      <c r="E1" s="1"/>
    </row>
    <row r="2" customFormat="false" ht="18" hidden="false" customHeight="true" outlineLevel="0" collapsed="false">
      <c r="A2" s="2" t="s">
        <v>48</v>
      </c>
      <c r="B2" s="2"/>
      <c r="C2" s="2"/>
      <c r="D2" s="2"/>
      <c r="E2" s="2"/>
    </row>
    <row r="4" customFormat="false" ht="30" hidden="false" customHeight="true" outlineLevel="0" collapsed="false">
      <c r="A4" s="11" t="s">
        <v>49</v>
      </c>
      <c r="B4" s="12" t="s">
        <v>50</v>
      </c>
      <c r="C4" s="12"/>
      <c r="D4" s="12"/>
      <c r="E4" s="12"/>
    </row>
    <row r="5" customFormat="false" ht="30" hidden="false" customHeight="true" outlineLevel="0" collapsed="false">
      <c r="A5" s="11" t="s">
        <v>51</v>
      </c>
      <c r="B5" s="12" t="s">
        <v>52</v>
      </c>
      <c r="C5" s="12"/>
      <c r="D5" s="12"/>
      <c r="E5" s="12"/>
    </row>
    <row r="6" customFormat="false" ht="30" hidden="false" customHeight="true" outlineLevel="0" collapsed="false">
      <c r="A6" s="11" t="s">
        <v>53</v>
      </c>
      <c r="B6" s="12" t="s">
        <v>54</v>
      </c>
      <c r="C6" s="12"/>
      <c r="D6" s="12"/>
      <c r="E6" s="12"/>
    </row>
    <row r="7" customFormat="false" ht="30" hidden="false" customHeight="true" outlineLevel="0" collapsed="false">
      <c r="A7" s="11" t="s">
        <v>55</v>
      </c>
      <c r="B7" s="12" t="s">
        <v>56</v>
      </c>
      <c r="C7" s="12"/>
      <c r="D7" s="12"/>
      <c r="E7" s="12"/>
    </row>
    <row r="8" customFormat="false" ht="30" hidden="false" customHeight="true" outlineLevel="0" collapsed="false">
      <c r="A8" s="11" t="s">
        <v>57</v>
      </c>
      <c r="B8" s="12" t="s">
        <v>58</v>
      </c>
      <c r="C8" s="12"/>
      <c r="D8" s="12"/>
      <c r="E8" s="12"/>
    </row>
    <row r="9" customFormat="false" ht="30" hidden="false" customHeight="true" outlineLevel="0" collapsed="false">
      <c r="A9" s="11" t="s">
        <v>59</v>
      </c>
      <c r="B9" s="12" t="s">
        <v>60</v>
      </c>
      <c r="C9" s="12"/>
      <c r="D9" s="12"/>
      <c r="E9" s="12"/>
    </row>
    <row r="10" customFormat="false" ht="30" hidden="false" customHeight="true" outlineLevel="0" collapsed="false">
      <c r="A10" s="11" t="s">
        <v>61</v>
      </c>
      <c r="B10" s="12" t="s">
        <v>62</v>
      </c>
      <c r="C10" s="12"/>
      <c r="D10" s="12"/>
      <c r="E10" s="12"/>
    </row>
    <row r="11" customFormat="false" ht="30" hidden="false" customHeight="true" outlineLevel="0" collapsed="false">
      <c r="A11" s="11" t="s">
        <v>63</v>
      </c>
      <c r="B11" s="12" t="s">
        <v>64</v>
      </c>
      <c r="C11" s="12"/>
      <c r="D11" s="12"/>
      <c r="E11" s="12"/>
    </row>
    <row r="12" customFormat="false" ht="30" hidden="false" customHeight="true" outlineLevel="0" collapsed="false">
      <c r="A12" s="11" t="s">
        <v>65</v>
      </c>
      <c r="B12" s="12" t="s">
        <v>66</v>
      </c>
      <c r="C12" s="12"/>
      <c r="D12" s="12"/>
      <c r="E12" s="12"/>
    </row>
    <row r="14" customFormat="false" ht="16.15" hidden="false" customHeight="false" outlineLevel="0" collapsed="false">
      <c r="A14" s="5" t="s">
        <v>67</v>
      </c>
    </row>
    <row r="15" customFormat="false" ht="31.5" hidden="false" customHeight="true" outlineLevel="0" collapsed="false">
      <c r="A15" s="8" t="s">
        <v>68</v>
      </c>
      <c r="B15" s="8" t="s">
        <v>69</v>
      </c>
      <c r="C15" s="8" t="s">
        <v>70</v>
      </c>
      <c r="D15" s="8" t="s">
        <v>71</v>
      </c>
      <c r="E15" s="8" t="s">
        <v>72</v>
      </c>
    </row>
    <row r="16" customFormat="false" ht="35.05" hidden="false" customHeight="false" outlineLevel="0" collapsed="false">
      <c r="A16" s="13" t="s">
        <v>73</v>
      </c>
      <c r="B16" s="13" t="s">
        <v>74</v>
      </c>
      <c r="C16" s="13" t="s">
        <v>75</v>
      </c>
      <c r="D16" s="13" t="s">
        <v>76</v>
      </c>
      <c r="E16" s="13" t="s">
        <v>77</v>
      </c>
    </row>
    <row r="17" customFormat="false" ht="19.5" hidden="false" customHeight="true" outlineLevel="0" collapsed="false">
      <c r="A17" s="14"/>
      <c r="B17" s="14"/>
      <c r="C17" s="14"/>
      <c r="D17" s="14"/>
      <c r="E17" s="14"/>
    </row>
    <row r="18" customFormat="false" ht="19.5" hidden="false" customHeight="true" outlineLevel="0" collapsed="false">
      <c r="A18" s="14"/>
      <c r="B18" s="14"/>
      <c r="C18" s="14"/>
      <c r="D18" s="14"/>
      <c r="E18" s="14"/>
    </row>
    <row r="19" customFormat="false" ht="19.5" hidden="false" customHeight="true" outlineLevel="0" collapsed="false">
      <c r="A19" s="14"/>
      <c r="B19" s="14"/>
      <c r="C19" s="14"/>
      <c r="D19" s="14"/>
      <c r="E19" s="14"/>
    </row>
    <row r="20" customFormat="false" ht="19.5" hidden="false" customHeight="true" outlineLevel="0" collapsed="false">
      <c r="A20" s="14"/>
      <c r="B20" s="14"/>
      <c r="C20" s="14"/>
      <c r="D20" s="14"/>
      <c r="E20" s="14"/>
    </row>
    <row r="21" customFormat="false" ht="19.5" hidden="false" customHeight="true" outlineLevel="0" collapsed="false">
      <c r="A21" s="14"/>
      <c r="B21" s="14"/>
      <c r="C21" s="14"/>
      <c r="D21" s="14"/>
      <c r="E21" s="14"/>
    </row>
    <row r="22" customFormat="false" ht="19.5" hidden="false" customHeight="true" outlineLevel="0" collapsed="false">
      <c r="A22" s="14"/>
      <c r="B22" s="14"/>
      <c r="C22" s="14"/>
      <c r="D22" s="14"/>
      <c r="E22" s="14"/>
    </row>
    <row r="23" customFormat="false" ht="19.5" hidden="false" customHeight="true" outlineLevel="0" collapsed="false">
      <c r="A23" s="14"/>
      <c r="B23" s="14"/>
      <c r="C23" s="14"/>
      <c r="D23" s="14"/>
      <c r="E23" s="14"/>
    </row>
    <row r="24" customFormat="false" ht="19.5" hidden="false" customHeight="true" outlineLevel="0" collapsed="false">
      <c r="A24" s="14"/>
      <c r="B24" s="14"/>
      <c r="C24" s="14"/>
      <c r="D24" s="14"/>
      <c r="E24" s="14"/>
    </row>
    <row r="25" customFormat="false" ht="19.5" hidden="false" customHeight="true" outlineLevel="0" collapsed="false">
      <c r="A25" s="14"/>
      <c r="B25" s="14"/>
      <c r="C25" s="14"/>
      <c r="D25" s="14"/>
      <c r="E25" s="14"/>
    </row>
    <row r="26" customFormat="false" ht="19.5" hidden="false" customHeight="true" outlineLevel="0" collapsed="false">
      <c r="A26" s="14"/>
      <c r="B26" s="14"/>
      <c r="C26" s="14"/>
      <c r="D26" s="14"/>
      <c r="E26" s="14"/>
    </row>
    <row r="27" customFormat="false" ht="19.5" hidden="false" customHeight="true" outlineLevel="0" collapsed="false">
      <c r="A27" s="14"/>
      <c r="B27" s="14"/>
      <c r="C27" s="14"/>
      <c r="D27" s="14"/>
      <c r="E27" s="14"/>
    </row>
    <row r="28" customFormat="false" ht="19.5" hidden="false" customHeight="true" outlineLevel="0" collapsed="false">
      <c r="A28" s="14"/>
      <c r="B28" s="14"/>
      <c r="C28" s="14"/>
      <c r="D28" s="14"/>
      <c r="E28" s="14"/>
    </row>
    <row r="29" customFormat="false" ht="19.5" hidden="false" customHeight="true" outlineLevel="0" collapsed="false">
      <c r="A29" s="14"/>
      <c r="B29" s="14"/>
      <c r="C29" s="14"/>
      <c r="D29" s="14"/>
      <c r="E29" s="14"/>
    </row>
    <row r="30" customFormat="false" ht="19.5" hidden="false" customHeight="true" outlineLevel="0" collapsed="false">
      <c r="A30" s="14"/>
      <c r="B30" s="14"/>
      <c r="C30" s="14"/>
      <c r="D30" s="14"/>
      <c r="E30" s="14"/>
    </row>
    <row r="31" customFormat="false" ht="19.5" hidden="false" customHeight="true" outlineLevel="0" collapsed="false">
      <c r="A31" s="14"/>
      <c r="B31" s="14"/>
      <c r="C31" s="14"/>
      <c r="D31" s="14"/>
      <c r="E31" s="14"/>
    </row>
    <row r="32" customFormat="false" ht="19.5" hidden="false" customHeight="true" outlineLevel="0" collapsed="false">
      <c r="A32" s="14"/>
      <c r="B32" s="14"/>
      <c r="C32" s="14"/>
      <c r="D32" s="14"/>
      <c r="E32" s="14"/>
    </row>
  </sheetData>
  <mergeCells count="11">
    <mergeCell ref="A1:E1"/>
    <mergeCell ref="A2:E2"/>
    <mergeCell ref="B4:E4"/>
    <mergeCell ref="B5:E5"/>
    <mergeCell ref="B6:E6"/>
    <mergeCell ref="B7:E7"/>
    <mergeCell ref="B8:E8"/>
    <mergeCell ref="B9:E9"/>
    <mergeCell ref="B10:E10"/>
    <mergeCell ref="B11:E11"/>
    <mergeCell ref="B12:E12"/>
  </mergeCells>
  <dataValidations count="1">
    <dataValidation allowBlank="true" errorStyle="stop" operator="between" showDropDown="false" showErrorMessage="false" showInputMessage="false" sqref="D16:D32" type="list">
      <formula1>"Interview,Document Review,Workshop,Evidence Review,System Walkthrough"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58"/>
    <col collapsed="false" customWidth="true" hidden="false" outlineLevel="0" max="4" min="4" style="0" width="12"/>
    <col collapsed="false" customWidth="true" hidden="false" outlineLevel="0" max="5" min="5" style="0" width="45"/>
    <col collapsed="false" customWidth="true" hidden="false" outlineLevel="0" max="6" min="6" style="0" width="14"/>
  </cols>
  <sheetData>
    <row r="1" customFormat="false" ht="27.75" hidden="false" customHeight="true" outlineLevel="0" collapsed="false">
      <c r="A1" s="1" t="s">
        <v>78</v>
      </c>
      <c r="B1" s="1"/>
      <c r="C1" s="1"/>
      <c r="D1" s="1"/>
      <c r="E1" s="1"/>
      <c r="F1" s="1"/>
    </row>
    <row r="2" customFormat="false" ht="18" hidden="false" customHeight="true" outlineLevel="0" collapsed="false">
      <c r="A2" s="2" t="s">
        <v>79</v>
      </c>
      <c r="B2" s="2"/>
      <c r="C2" s="2"/>
      <c r="D2" s="2"/>
      <c r="E2" s="2"/>
      <c r="F2" s="2"/>
    </row>
    <row r="4" customFormat="false" ht="31.5" hidden="false" customHeight="true" outlineLevel="0" collapsed="false">
      <c r="A4" s="8" t="s">
        <v>80</v>
      </c>
      <c r="B4" s="8" t="s">
        <v>81</v>
      </c>
      <c r="C4" s="8" t="s">
        <v>82</v>
      </c>
      <c r="D4" s="8" t="s">
        <v>83</v>
      </c>
      <c r="E4" s="8" t="s">
        <v>84</v>
      </c>
      <c r="F4" s="8" t="s">
        <v>85</v>
      </c>
    </row>
    <row r="5" customFormat="false" ht="35.05" hidden="false" customHeight="false" outlineLevel="0" collapsed="false">
      <c r="A5" s="13" t="s">
        <v>86</v>
      </c>
      <c r="B5" s="13" t="s">
        <v>87</v>
      </c>
      <c r="C5" s="13" t="s">
        <v>88</v>
      </c>
      <c r="D5" s="13" t="n">
        <v>2</v>
      </c>
      <c r="E5" s="13" t="s">
        <v>89</v>
      </c>
      <c r="F5" s="13" t="s">
        <v>90</v>
      </c>
    </row>
    <row r="6" customFormat="false" ht="33.75" hidden="false" customHeight="true" outlineLevel="0" collapsed="false">
      <c r="A6" s="15" t="s">
        <v>86</v>
      </c>
      <c r="B6" s="15" t="s">
        <v>87</v>
      </c>
      <c r="C6" s="15" t="s">
        <v>91</v>
      </c>
      <c r="D6" s="15"/>
      <c r="E6" s="15"/>
      <c r="F6" s="15"/>
    </row>
    <row r="7" customFormat="false" ht="33.75" hidden="false" customHeight="true" outlineLevel="0" collapsed="false">
      <c r="A7" s="15" t="s">
        <v>86</v>
      </c>
      <c r="B7" s="15" t="s">
        <v>92</v>
      </c>
      <c r="C7" s="15" t="s">
        <v>93</v>
      </c>
      <c r="D7" s="15"/>
      <c r="E7" s="15"/>
      <c r="F7" s="15"/>
    </row>
    <row r="8" customFormat="false" ht="33.75" hidden="false" customHeight="true" outlineLevel="0" collapsed="false">
      <c r="A8" s="15" t="s">
        <v>86</v>
      </c>
      <c r="B8" s="15" t="s">
        <v>94</v>
      </c>
      <c r="C8" s="15" t="s">
        <v>95</v>
      </c>
      <c r="D8" s="15"/>
      <c r="E8" s="15"/>
      <c r="F8" s="15"/>
    </row>
    <row r="9" customFormat="false" ht="33.75" hidden="false" customHeight="true" outlineLevel="0" collapsed="false">
      <c r="A9" s="15" t="s">
        <v>86</v>
      </c>
      <c r="B9" s="15" t="s">
        <v>96</v>
      </c>
      <c r="C9" s="15" t="s">
        <v>97</v>
      </c>
      <c r="D9" s="15"/>
      <c r="E9" s="15"/>
      <c r="F9" s="15"/>
    </row>
    <row r="10" customFormat="false" ht="33.75" hidden="false" customHeight="true" outlineLevel="0" collapsed="false">
      <c r="A10" s="15" t="s">
        <v>86</v>
      </c>
      <c r="B10" s="15" t="s">
        <v>98</v>
      </c>
      <c r="C10" s="15" t="s">
        <v>99</v>
      </c>
      <c r="D10" s="15"/>
      <c r="E10" s="15"/>
      <c r="F10" s="15"/>
    </row>
    <row r="11" customFormat="false" ht="33.75" hidden="false" customHeight="true" outlineLevel="0" collapsed="false">
      <c r="A11" s="15" t="s">
        <v>86</v>
      </c>
      <c r="B11" s="15" t="s">
        <v>100</v>
      </c>
      <c r="C11" s="15" t="s">
        <v>101</v>
      </c>
      <c r="D11" s="15"/>
      <c r="E11" s="15"/>
      <c r="F11" s="15"/>
    </row>
    <row r="12" customFormat="false" ht="33.75" hidden="false" customHeight="true" outlineLevel="0" collapsed="false">
      <c r="A12" s="15" t="s">
        <v>86</v>
      </c>
      <c r="B12" s="15" t="s">
        <v>102</v>
      </c>
      <c r="C12" s="15" t="s">
        <v>103</v>
      </c>
      <c r="D12" s="15"/>
      <c r="E12" s="15"/>
      <c r="F12" s="15"/>
    </row>
    <row r="13" customFormat="false" ht="33.75" hidden="false" customHeight="true" outlineLevel="0" collapsed="false">
      <c r="A13" s="15" t="s">
        <v>86</v>
      </c>
      <c r="B13" s="15" t="s">
        <v>104</v>
      </c>
      <c r="C13" s="15" t="s">
        <v>105</v>
      </c>
      <c r="D13" s="15"/>
      <c r="E13" s="15"/>
      <c r="F13" s="15"/>
    </row>
    <row r="14" customFormat="false" ht="33.75" hidden="false" customHeight="true" outlineLevel="0" collapsed="false">
      <c r="A14" s="15" t="s">
        <v>86</v>
      </c>
      <c r="B14" s="15" t="s">
        <v>106</v>
      </c>
      <c r="C14" s="15" t="s">
        <v>107</v>
      </c>
      <c r="D14" s="15"/>
      <c r="E14" s="15"/>
      <c r="F14" s="15"/>
    </row>
    <row r="15" customFormat="false" ht="33.75" hidden="false" customHeight="true" outlineLevel="0" collapsed="false">
      <c r="A15" s="15" t="s">
        <v>86</v>
      </c>
      <c r="B15" s="15" t="s">
        <v>108</v>
      </c>
      <c r="C15" s="15" t="s">
        <v>109</v>
      </c>
      <c r="D15" s="15"/>
      <c r="E15" s="15"/>
      <c r="F15" s="15"/>
    </row>
    <row r="16" customFormat="false" ht="33.75" hidden="false" customHeight="true" outlineLevel="0" collapsed="false">
      <c r="A16" s="15" t="s">
        <v>86</v>
      </c>
      <c r="B16" s="15" t="s">
        <v>110</v>
      </c>
      <c r="C16" s="15" t="s">
        <v>111</v>
      </c>
      <c r="D16" s="15"/>
      <c r="E16" s="15"/>
      <c r="F16" s="15"/>
    </row>
    <row r="17" customFormat="false" ht="33.75" hidden="false" customHeight="true" outlineLevel="0" collapsed="false">
      <c r="A17" s="15" t="s">
        <v>86</v>
      </c>
      <c r="B17" s="15" t="s">
        <v>112</v>
      </c>
      <c r="C17" s="15" t="s">
        <v>113</v>
      </c>
      <c r="D17" s="15"/>
      <c r="E17" s="15"/>
      <c r="F17" s="15"/>
    </row>
    <row r="18" customFormat="false" ht="33.75" hidden="false" customHeight="true" outlineLevel="0" collapsed="false">
      <c r="A18" s="15" t="s">
        <v>86</v>
      </c>
      <c r="B18" s="15" t="s">
        <v>114</v>
      </c>
      <c r="C18" s="15" t="s">
        <v>115</v>
      </c>
      <c r="D18" s="15"/>
      <c r="E18" s="15"/>
      <c r="F18" s="15"/>
    </row>
    <row r="19" customFormat="false" ht="33.75" hidden="false" customHeight="true" outlineLevel="0" collapsed="false">
      <c r="A19" s="15" t="s">
        <v>86</v>
      </c>
      <c r="B19" s="15" t="s">
        <v>116</v>
      </c>
      <c r="C19" s="15" t="s">
        <v>117</v>
      </c>
      <c r="D19" s="15"/>
      <c r="E19" s="15"/>
      <c r="F19" s="15"/>
    </row>
    <row r="20" customFormat="false" ht="33.75" hidden="false" customHeight="true" outlineLevel="0" collapsed="false">
      <c r="A20" s="15" t="s">
        <v>86</v>
      </c>
      <c r="B20" s="15" t="s">
        <v>118</v>
      </c>
      <c r="C20" s="15" t="s">
        <v>119</v>
      </c>
      <c r="D20" s="15"/>
      <c r="E20" s="15"/>
      <c r="F20" s="15"/>
    </row>
    <row r="21" customFormat="false" ht="33.75" hidden="false" customHeight="true" outlineLevel="0" collapsed="false">
      <c r="A21" s="15" t="s">
        <v>86</v>
      </c>
      <c r="B21" s="15" t="s">
        <v>120</v>
      </c>
      <c r="C21" s="15" t="s">
        <v>121</v>
      </c>
      <c r="D21" s="15"/>
      <c r="E21" s="15"/>
      <c r="F21" s="15"/>
    </row>
    <row r="22" customFormat="false" ht="33.75" hidden="false" customHeight="true" outlineLevel="0" collapsed="false">
      <c r="A22" s="15" t="s">
        <v>86</v>
      </c>
      <c r="B22" s="15" t="s">
        <v>122</v>
      </c>
      <c r="C22" s="15" t="s">
        <v>123</v>
      </c>
      <c r="D22" s="15"/>
      <c r="E22" s="15"/>
      <c r="F22" s="15"/>
    </row>
    <row r="23" customFormat="false" ht="33.75" hidden="false" customHeight="true" outlineLevel="0" collapsed="false">
      <c r="A23" s="15" t="s">
        <v>86</v>
      </c>
      <c r="B23" s="15" t="s">
        <v>124</v>
      </c>
      <c r="C23" s="15" t="s">
        <v>125</v>
      </c>
      <c r="D23" s="15"/>
      <c r="E23" s="15"/>
      <c r="F23" s="15"/>
    </row>
    <row r="24" customFormat="false" ht="33.75" hidden="false" customHeight="true" outlineLevel="0" collapsed="false">
      <c r="A24" s="15" t="s">
        <v>86</v>
      </c>
      <c r="B24" s="15" t="s">
        <v>126</v>
      </c>
      <c r="C24" s="15" t="s">
        <v>127</v>
      </c>
      <c r="D24" s="15"/>
      <c r="E24" s="15"/>
      <c r="F24" s="15"/>
    </row>
    <row r="25" customFormat="false" ht="33.75" hidden="false" customHeight="true" outlineLevel="0" collapsed="false">
      <c r="A25" s="15" t="s">
        <v>128</v>
      </c>
      <c r="B25" s="15" t="s">
        <v>129</v>
      </c>
      <c r="C25" s="15" t="s">
        <v>130</v>
      </c>
      <c r="D25" s="15"/>
      <c r="E25" s="15"/>
      <c r="F25" s="15"/>
    </row>
    <row r="26" customFormat="false" ht="33.75" hidden="false" customHeight="true" outlineLevel="0" collapsed="false">
      <c r="A26" s="15" t="s">
        <v>128</v>
      </c>
      <c r="B26" s="15" t="s">
        <v>131</v>
      </c>
      <c r="C26" s="15" t="s">
        <v>132</v>
      </c>
      <c r="D26" s="15"/>
      <c r="E26" s="15"/>
      <c r="F26" s="15"/>
    </row>
    <row r="27" customFormat="false" ht="33.75" hidden="false" customHeight="true" outlineLevel="0" collapsed="false">
      <c r="A27" s="15" t="s">
        <v>128</v>
      </c>
      <c r="B27" s="15" t="s">
        <v>133</v>
      </c>
      <c r="C27" s="15" t="s">
        <v>134</v>
      </c>
      <c r="D27" s="15"/>
      <c r="E27" s="15"/>
      <c r="F27" s="15"/>
    </row>
    <row r="28" customFormat="false" ht="33.75" hidden="false" customHeight="true" outlineLevel="0" collapsed="false">
      <c r="A28" s="15" t="s">
        <v>128</v>
      </c>
      <c r="B28" s="15" t="s">
        <v>135</v>
      </c>
      <c r="C28" s="15" t="s">
        <v>136</v>
      </c>
      <c r="D28" s="15"/>
      <c r="E28" s="15"/>
      <c r="F28" s="15"/>
    </row>
    <row r="29" customFormat="false" ht="33.75" hidden="false" customHeight="true" outlineLevel="0" collapsed="false">
      <c r="A29" s="15" t="s">
        <v>128</v>
      </c>
      <c r="B29" s="15" t="s">
        <v>137</v>
      </c>
      <c r="C29" s="15" t="s">
        <v>138</v>
      </c>
      <c r="D29" s="15"/>
      <c r="E29" s="15"/>
      <c r="F29" s="15"/>
    </row>
    <row r="30" customFormat="false" ht="33.75" hidden="false" customHeight="true" outlineLevel="0" collapsed="false">
      <c r="A30" s="15" t="s">
        <v>128</v>
      </c>
      <c r="B30" s="15" t="s">
        <v>139</v>
      </c>
      <c r="C30" s="15" t="s">
        <v>140</v>
      </c>
      <c r="D30" s="15"/>
      <c r="E30" s="15"/>
      <c r="F30" s="15"/>
    </row>
    <row r="31" customFormat="false" ht="33.75" hidden="false" customHeight="true" outlineLevel="0" collapsed="false">
      <c r="A31" s="15" t="s">
        <v>128</v>
      </c>
      <c r="B31" s="15" t="s">
        <v>141</v>
      </c>
      <c r="C31" s="15" t="s">
        <v>142</v>
      </c>
      <c r="D31" s="15"/>
      <c r="E31" s="15"/>
      <c r="F31" s="15"/>
    </row>
    <row r="32" customFormat="false" ht="33.75" hidden="false" customHeight="true" outlineLevel="0" collapsed="false">
      <c r="A32" s="15" t="s">
        <v>128</v>
      </c>
      <c r="B32" s="15" t="s">
        <v>143</v>
      </c>
      <c r="C32" s="15" t="s">
        <v>144</v>
      </c>
      <c r="D32" s="15"/>
      <c r="E32" s="15"/>
      <c r="F32" s="15"/>
    </row>
    <row r="33" customFormat="false" ht="33.75" hidden="false" customHeight="true" outlineLevel="0" collapsed="false">
      <c r="A33" s="15" t="s">
        <v>128</v>
      </c>
      <c r="B33" s="15" t="s">
        <v>145</v>
      </c>
      <c r="C33" s="15" t="s">
        <v>146</v>
      </c>
      <c r="D33" s="15"/>
      <c r="E33" s="15"/>
      <c r="F33" s="15"/>
    </row>
    <row r="34" customFormat="false" ht="33.75" hidden="false" customHeight="true" outlineLevel="0" collapsed="false">
      <c r="A34" s="15" t="s">
        <v>128</v>
      </c>
      <c r="B34" s="15" t="s">
        <v>147</v>
      </c>
      <c r="C34" s="15" t="s">
        <v>148</v>
      </c>
      <c r="D34" s="15"/>
      <c r="E34" s="15"/>
      <c r="F34" s="15"/>
    </row>
    <row r="35" customFormat="false" ht="33.75" hidden="false" customHeight="true" outlineLevel="0" collapsed="false">
      <c r="A35" s="15" t="s">
        <v>128</v>
      </c>
      <c r="B35" s="15" t="s">
        <v>149</v>
      </c>
      <c r="C35" s="15" t="s">
        <v>150</v>
      </c>
      <c r="D35" s="15"/>
      <c r="E35" s="15"/>
      <c r="F35" s="15"/>
    </row>
    <row r="36" customFormat="false" ht="33.75" hidden="false" customHeight="true" outlineLevel="0" collapsed="false">
      <c r="A36" s="15" t="s">
        <v>128</v>
      </c>
      <c r="B36" s="15" t="s">
        <v>151</v>
      </c>
      <c r="C36" s="15" t="s">
        <v>152</v>
      </c>
      <c r="D36" s="15"/>
      <c r="E36" s="15"/>
      <c r="F36" s="15"/>
    </row>
    <row r="37" customFormat="false" ht="33.75" hidden="false" customHeight="true" outlineLevel="0" collapsed="false">
      <c r="A37" s="15" t="s">
        <v>128</v>
      </c>
      <c r="B37" s="15" t="s">
        <v>153</v>
      </c>
      <c r="C37" s="15" t="s">
        <v>154</v>
      </c>
      <c r="D37" s="15"/>
      <c r="E37" s="15"/>
      <c r="F37" s="15"/>
    </row>
    <row r="38" customFormat="false" ht="33.75" hidden="false" customHeight="true" outlineLevel="0" collapsed="false">
      <c r="A38" s="15" t="s">
        <v>128</v>
      </c>
      <c r="B38" s="15" t="s">
        <v>155</v>
      </c>
      <c r="C38" s="15" t="s">
        <v>156</v>
      </c>
      <c r="D38" s="15"/>
      <c r="E38" s="15"/>
      <c r="F38" s="15"/>
    </row>
    <row r="39" customFormat="false" ht="33.75" hidden="false" customHeight="true" outlineLevel="0" collapsed="false">
      <c r="A39" s="15" t="s">
        <v>128</v>
      </c>
      <c r="B39" s="15" t="s">
        <v>157</v>
      </c>
      <c r="C39" s="15" t="s">
        <v>158</v>
      </c>
      <c r="D39" s="15"/>
      <c r="E39" s="15"/>
      <c r="F39" s="15"/>
    </row>
    <row r="40" customFormat="false" ht="33.75" hidden="false" customHeight="true" outlineLevel="0" collapsed="false">
      <c r="A40" s="15" t="s">
        <v>128</v>
      </c>
      <c r="B40" s="15" t="s">
        <v>159</v>
      </c>
      <c r="C40" s="15" t="s">
        <v>160</v>
      </c>
      <c r="D40" s="15"/>
      <c r="E40" s="15"/>
      <c r="F40" s="15"/>
    </row>
    <row r="41" customFormat="false" ht="33.75" hidden="false" customHeight="true" outlineLevel="0" collapsed="false">
      <c r="A41" s="15" t="s">
        <v>128</v>
      </c>
      <c r="B41" s="15" t="s">
        <v>161</v>
      </c>
      <c r="C41" s="15" t="s">
        <v>162</v>
      </c>
      <c r="D41" s="15"/>
      <c r="E41" s="15"/>
      <c r="F41" s="15"/>
    </row>
    <row r="42" customFormat="false" ht="33.75" hidden="false" customHeight="true" outlineLevel="0" collapsed="false">
      <c r="A42" s="15" t="s">
        <v>128</v>
      </c>
      <c r="B42" s="15" t="s">
        <v>163</v>
      </c>
      <c r="C42" s="15" t="s">
        <v>164</v>
      </c>
      <c r="D42" s="15"/>
      <c r="E42" s="15"/>
      <c r="F42" s="15"/>
    </row>
    <row r="43" customFormat="false" ht="33.75" hidden="false" customHeight="true" outlineLevel="0" collapsed="false">
      <c r="A43" s="15" t="s">
        <v>165</v>
      </c>
      <c r="B43" s="15" t="s">
        <v>166</v>
      </c>
      <c r="C43" s="15" t="s">
        <v>167</v>
      </c>
      <c r="D43" s="15"/>
      <c r="E43" s="15"/>
      <c r="F43" s="15"/>
    </row>
    <row r="44" customFormat="false" ht="33.75" hidden="false" customHeight="true" outlineLevel="0" collapsed="false">
      <c r="A44" s="15" t="s">
        <v>165</v>
      </c>
      <c r="B44" s="15" t="s">
        <v>168</v>
      </c>
      <c r="C44" s="15" t="s">
        <v>169</v>
      </c>
      <c r="D44" s="15"/>
      <c r="E44" s="15"/>
      <c r="F44" s="15"/>
    </row>
    <row r="45" customFormat="false" ht="33.75" hidden="false" customHeight="true" outlineLevel="0" collapsed="false">
      <c r="A45" s="15" t="s">
        <v>165</v>
      </c>
      <c r="B45" s="15" t="s">
        <v>170</v>
      </c>
      <c r="C45" s="15" t="s">
        <v>171</v>
      </c>
      <c r="D45" s="15"/>
      <c r="E45" s="15"/>
      <c r="F45" s="15"/>
    </row>
    <row r="46" customFormat="false" ht="33.75" hidden="false" customHeight="true" outlineLevel="0" collapsed="false">
      <c r="A46" s="15" t="s">
        <v>165</v>
      </c>
      <c r="B46" s="15" t="s">
        <v>172</v>
      </c>
      <c r="C46" s="15" t="s">
        <v>173</v>
      </c>
      <c r="D46" s="15"/>
      <c r="E46" s="15"/>
      <c r="F46" s="15"/>
    </row>
    <row r="47" customFormat="false" ht="33.75" hidden="false" customHeight="true" outlineLevel="0" collapsed="false">
      <c r="A47" s="15" t="s">
        <v>165</v>
      </c>
      <c r="B47" s="15" t="s">
        <v>174</v>
      </c>
      <c r="C47" s="15" t="s">
        <v>175</v>
      </c>
      <c r="D47" s="15"/>
      <c r="E47" s="15"/>
      <c r="F47" s="15"/>
    </row>
    <row r="48" customFormat="false" ht="33.75" hidden="false" customHeight="true" outlineLevel="0" collapsed="false">
      <c r="A48" s="15" t="s">
        <v>165</v>
      </c>
      <c r="B48" s="15" t="s">
        <v>176</v>
      </c>
      <c r="C48" s="15" t="s">
        <v>177</v>
      </c>
      <c r="D48" s="15"/>
      <c r="E48" s="15"/>
      <c r="F48" s="15"/>
    </row>
    <row r="49" customFormat="false" ht="33.75" hidden="false" customHeight="true" outlineLevel="0" collapsed="false">
      <c r="A49" s="15" t="s">
        <v>165</v>
      </c>
      <c r="B49" s="15" t="s">
        <v>178</v>
      </c>
      <c r="C49" s="15" t="s">
        <v>179</v>
      </c>
      <c r="D49" s="15"/>
      <c r="E49" s="15"/>
      <c r="F49" s="15"/>
    </row>
    <row r="50" customFormat="false" ht="33.75" hidden="false" customHeight="true" outlineLevel="0" collapsed="false">
      <c r="A50" s="15" t="s">
        <v>165</v>
      </c>
      <c r="B50" s="15" t="s">
        <v>180</v>
      </c>
      <c r="C50" s="15" t="s">
        <v>181</v>
      </c>
      <c r="D50" s="15"/>
      <c r="E50" s="15"/>
      <c r="F50" s="15"/>
    </row>
    <row r="51" customFormat="false" ht="33.75" hidden="false" customHeight="true" outlineLevel="0" collapsed="false">
      <c r="A51" s="15" t="s">
        <v>165</v>
      </c>
      <c r="B51" s="15" t="s">
        <v>182</v>
      </c>
      <c r="C51" s="15" t="s">
        <v>183</v>
      </c>
      <c r="D51" s="15"/>
      <c r="E51" s="15"/>
      <c r="F51" s="15"/>
    </row>
    <row r="52" customFormat="false" ht="33.75" hidden="false" customHeight="true" outlineLevel="0" collapsed="false">
      <c r="A52" s="15" t="s">
        <v>165</v>
      </c>
      <c r="B52" s="15" t="s">
        <v>184</v>
      </c>
      <c r="C52" s="15" t="s">
        <v>185</v>
      </c>
      <c r="D52" s="15"/>
      <c r="E52" s="15"/>
      <c r="F52" s="15"/>
    </row>
    <row r="53" customFormat="false" ht="33.75" hidden="false" customHeight="true" outlineLevel="0" collapsed="false">
      <c r="A53" s="15" t="s">
        <v>165</v>
      </c>
      <c r="B53" s="15" t="s">
        <v>186</v>
      </c>
      <c r="C53" s="15" t="s">
        <v>187</v>
      </c>
      <c r="D53" s="15"/>
      <c r="E53" s="15"/>
      <c r="F53" s="15"/>
    </row>
    <row r="54" customFormat="false" ht="33.75" hidden="false" customHeight="true" outlineLevel="0" collapsed="false">
      <c r="A54" s="15" t="s">
        <v>165</v>
      </c>
      <c r="B54" s="15" t="s">
        <v>188</v>
      </c>
      <c r="C54" s="15" t="s">
        <v>189</v>
      </c>
      <c r="D54" s="15"/>
      <c r="E54" s="15"/>
      <c r="F54" s="15"/>
    </row>
    <row r="55" customFormat="false" ht="33.75" hidden="false" customHeight="true" outlineLevel="0" collapsed="false">
      <c r="A55" s="15" t="s">
        <v>165</v>
      </c>
      <c r="B55" s="15" t="s">
        <v>190</v>
      </c>
      <c r="C55" s="15" t="s">
        <v>191</v>
      </c>
      <c r="D55" s="15"/>
      <c r="E55" s="15"/>
      <c r="F55" s="15"/>
    </row>
    <row r="56" customFormat="false" ht="33.75" hidden="false" customHeight="true" outlineLevel="0" collapsed="false">
      <c r="A56" s="15" t="s">
        <v>165</v>
      </c>
      <c r="B56" s="15" t="s">
        <v>192</v>
      </c>
      <c r="C56" s="15" t="s">
        <v>193</v>
      </c>
      <c r="D56" s="15"/>
      <c r="E56" s="15"/>
      <c r="F56" s="15"/>
    </row>
    <row r="57" customFormat="false" ht="33.75" hidden="false" customHeight="true" outlineLevel="0" collapsed="false">
      <c r="A57" s="15" t="s">
        <v>165</v>
      </c>
      <c r="B57" s="15" t="s">
        <v>194</v>
      </c>
      <c r="C57" s="15" t="s">
        <v>195</v>
      </c>
      <c r="D57" s="15"/>
      <c r="E57" s="15"/>
      <c r="F57" s="15"/>
    </row>
    <row r="58" customFormat="false" ht="33.75" hidden="false" customHeight="true" outlineLevel="0" collapsed="false">
      <c r="A58" s="15" t="s">
        <v>165</v>
      </c>
      <c r="B58" s="15" t="s">
        <v>196</v>
      </c>
      <c r="C58" s="15" t="s">
        <v>197</v>
      </c>
      <c r="D58" s="15"/>
      <c r="E58" s="15"/>
      <c r="F58" s="15"/>
    </row>
    <row r="59" customFormat="false" ht="33.75" hidden="false" customHeight="true" outlineLevel="0" collapsed="false">
      <c r="A59" s="15" t="s">
        <v>165</v>
      </c>
      <c r="B59" s="15" t="s">
        <v>198</v>
      </c>
      <c r="C59" s="15" t="s">
        <v>199</v>
      </c>
      <c r="D59" s="15"/>
      <c r="E59" s="15"/>
      <c r="F59" s="15"/>
    </row>
    <row r="60" customFormat="false" ht="33.75" hidden="false" customHeight="true" outlineLevel="0" collapsed="false">
      <c r="A60" s="15" t="s">
        <v>165</v>
      </c>
      <c r="B60" s="15" t="s">
        <v>200</v>
      </c>
      <c r="C60" s="15" t="s">
        <v>201</v>
      </c>
      <c r="D60" s="15"/>
      <c r="E60" s="15"/>
      <c r="F60" s="15"/>
    </row>
    <row r="61" customFormat="false" ht="33.75" hidden="false" customHeight="true" outlineLevel="0" collapsed="false">
      <c r="A61" s="15" t="s">
        <v>165</v>
      </c>
      <c r="B61" s="15" t="s">
        <v>202</v>
      </c>
      <c r="C61" s="15" t="s">
        <v>203</v>
      </c>
      <c r="D61" s="15"/>
      <c r="E61" s="15"/>
      <c r="F61" s="15"/>
    </row>
    <row r="62" customFormat="false" ht="33.75" hidden="false" customHeight="true" outlineLevel="0" collapsed="false">
      <c r="A62" s="15" t="s">
        <v>165</v>
      </c>
      <c r="B62" s="15" t="s">
        <v>204</v>
      </c>
      <c r="C62" s="15" t="s">
        <v>205</v>
      </c>
      <c r="D62" s="15"/>
      <c r="E62" s="15"/>
      <c r="F62" s="15"/>
    </row>
    <row r="63" customFormat="false" ht="33.75" hidden="false" customHeight="true" outlineLevel="0" collapsed="false">
      <c r="A63" s="15" t="s">
        <v>165</v>
      </c>
      <c r="B63" s="15" t="s">
        <v>206</v>
      </c>
      <c r="C63" s="15" t="s">
        <v>207</v>
      </c>
      <c r="D63" s="15"/>
      <c r="E63" s="15"/>
      <c r="F63" s="15"/>
    </row>
    <row r="64" customFormat="false" ht="33.75" hidden="false" customHeight="true" outlineLevel="0" collapsed="false">
      <c r="A64" s="15" t="s">
        <v>165</v>
      </c>
      <c r="B64" s="15" t="s">
        <v>208</v>
      </c>
      <c r="C64" s="15" t="s">
        <v>209</v>
      </c>
      <c r="D64" s="15"/>
      <c r="E64" s="15"/>
      <c r="F64" s="15"/>
    </row>
    <row r="65" customFormat="false" ht="33.75" hidden="false" customHeight="true" outlineLevel="0" collapsed="false">
      <c r="A65" s="15" t="s">
        <v>210</v>
      </c>
      <c r="B65" s="15" t="s">
        <v>211</v>
      </c>
      <c r="C65" s="15" t="s">
        <v>212</v>
      </c>
      <c r="D65" s="15"/>
      <c r="E65" s="15"/>
      <c r="F65" s="15"/>
    </row>
    <row r="66" customFormat="false" ht="33.75" hidden="false" customHeight="true" outlineLevel="0" collapsed="false">
      <c r="A66" s="15" t="s">
        <v>210</v>
      </c>
      <c r="B66" s="15" t="s">
        <v>213</v>
      </c>
      <c r="C66" s="15" t="s">
        <v>214</v>
      </c>
      <c r="D66" s="15"/>
      <c r="E66" s="15"/>
      <c r="F66" s="15"/>
    </row>
    <row r="67" customFormat="false" ht="33.75" hidden="false" customHeight="true" outlineLevel="0" collapsed="false">
      <c r="A67" s="15" t="s">
        <v>210</v>
      </c>
      <c r="B67" s="15" t="s">
        <v>215</v>
      </c>
      <c r="C67" s="15" t="s">
        <v>216</v>
      </c>
      <c r="D67" s="15"/>
      <c r="E67" s="15"/>
      <c r="F67" s="15"/>
    </row>
    <row r="68" customFormat="false" ht="33.75" hidden="false" customHeight="true" outlineLevel="0" collapsed="false">
      <c r="A68" s="15" t="s">
        <v>210</v>
      </c>
      <c r="B68" s="15" t="s">
        <v>217</v>
      </c>
      <c r="C68" s="15" t="s">
        <v>218</v>
      </c>
      <c r="D68" s="15"/>
      <c r="E68" s="15"/>
      <c r="F68" s="15"/>
    </row>
    <row r="69" customFormat="false" ht="33.75" hidden="false" customHeight="true" outlineLevel="0" collapsed="false">
      <c r="A69" s="15" t="s">
        <v>210</v>
      </c>
      <c r="B69" s="15" t="s">
        <v>219</v>
      </c>
      <c r="C69" s="15" t="s">
        <v>220</v>
      </c>
      <c r="D69" s="15"/>
      <c r="E69" s="15"/>
      <c r="F69" s="15"/>
    </row>
    <row r="70" customFormat="false" ht="33.75" hidden="false" customHeight="true" outlineLevel="0" collapsed="false">
      <c r="A70" s="15" t="s">
        <v>210</v>
      </c>
      <c r="B70" s="15" t="s">
        <v>221</v>
      </c>
      <c r="C70" s="15" t="s">
        <v>222</v>
      </c>
      <c r="D70" s="15"/>
      <c r="E70" s="15"/>
      <c r="F70" s="15"/>
    </row>
    <row r="71" customFormat="false" ht="33.75" hidden="false" customHeight="true" outlineLevel="0" collapsed="false">
      <c r="A71" s="15" t="s">
        <v>210</v>
      </c>
      <c r="B71" s="15" t="s">
        <v>223</v>
      </c>
      <c r="C71" s="15" t="s">
        <v>224</v>
      </c>
      <c r="D71" s="15"/>
      <c r="E71" s="15"/>
      <c r="F71" s="15"/>
    </row>
    <row r="72" customFormat="false" ht="33.75" hidden="false" customHeight="true" outlineLevel="0" collapsed="false">
      <c r="A72" s="15" t="s">
        <v>210</v>
      </c>
      <c r="B72" s="15" t="s">
        <v>225</v>
      </c>
      <c r="C72" s="15" t="s">
        <v>226</v>
      </c>
      <c r="D72" s="15"/>
      <c r="E72" s="15"/>
      <c r="F72" s="15"/>
    </row>
    <row r="73" customFormat="false" ht="33.75" hidden="false" customHeight="true" outlineLevel="0" collapsed="false">
      <c r="A73" s="15" t="s">
        <v>210</v>
      </c>
      <c r="B73" s="15" t="s">
        <v>227</v>
      </c>
      <c r="C73" s="15" t="s">
        <v>228</v>
      </c>
      <c r="D73" s="15"/>
      <c r="E73" s="15"/>
      <c r="F73" s="15"/>
    </row>
    <row r="74" customFormat="false" ht="33.75" hidden="false" customHeight="true" outlineLevel="0" collapsed="false">
      <c r="A74" s="15" t="s">
        <v>210</v>
      </c>
      <c r="B74" s="15" t="s">
        <v>229</v>
      </c>
      <c r="C74" s="15" t="s">
        <v>230</v>
      </c>
      <c r="D74" s="15"/>
      <c r="E74" s="15"/>
      <c r="F74" s="15"/>
    </row>
    <row r="75" customFormat="false" ht="33.75" hidden="false" customHeight="true" outlineLevel="0" collapsed="false">
      <c r="A75" s="15" t="s">
        <v>210</v>
      </c>
      <c r="B75" s="15" t="s">
        <v>231</v>
      </c>
      <c r="C75" s="15" t="s">
        <v>232</v>
      </c>
      <c r="D75" s="15"/>
      <c r="E75" s="15"/>
      <c r="F75" s="15"/>
    </row>
    <row r="76" customFormat="false" ht="33.75" hidden="false" customHeight="true" outlineLevel="0" collapsed="false">
      <c r="A76" s="15" t="s">
        <v>210</v>
      </c>
      <c r="B76" s="15" t="s">
        <v>233</v>
      </c>
      <c r="C76" s="15" t="s">
        <v>234</v>
      </c>
      <c r="D76" s="15"/>
      <c r="E76" s="15"/>
      <c r="F76" s="15"/>
    </row>
    <row r="77" customFormat="false" ht="33.75" hidden="false" customHeight="true" outlineLevel="0" collapsed="false">
      <c r="A77" s="15" t="s">
        <v>210</v>
      </c>
      <c r="B77" s="15" t="s">
        <v>235</v>
      </c>
      <c r="C77" s="15" t="s">
        <v>236</v>
      </c>
      <c r="D77" s="15"/>
      <c r="E77" s="15"/>
      <c r="F77" s="15"/>
    </row>
  </sheetData>
  <mergeCells count="2">
    <mergeCell ref="A1:F1"/>
    <mergeCell ref="A2:F2"/>
  </mergeCells>
  <dataValidations count="1">
    <dataValidation allowBlank="true" errorStyle="stop" operator="between" showDropDown="false" showErrorMessage="false" showInputMessage="false" sqref="D6:D77" type="list">
      <formula1>"0,1,2,3,4"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6"/>
    <col collapsed="false" customWidth="true" hidden="false" outlineLevel="0" max="6" min="4" style="0" width="12"/>
    <col collapsed="false" customWidth="true" hidden="false" outlineLevel="0" max="7" min="7" style="0" width="14"/>
    <col collapsed="false" customWidth="true" hidden="false" outlineLevel="0" max="8" min="8" style="0" width="34"/>
    <col collapsed="false" customWidth="true" hidden="false" outlineLevel="0" max="9" min="9" style="0" width="16"/>
  </cols>
  <sheetData>
    <row r="1" customFormat="false" ht="27.75" hidden="false" customHeight="true" outlineLevel="0" collapsed="false">
      <c r="A1" s="1" t="s">
        <v>237</v>
      </c>
      <c r="B1" s="1"/>
      <c r="C1" s="1"/>
      <c r="D1" s="1"/>
      <c r="E1" s="1"/>
      <c r="F1" s="1"/>
      <c r="G1" s="1"/>
      <c r="H1" s="1"/>
      <c r="I1" s="1"/>
    </row>
    <row r="2" customFormat="false" ht="18" hidden="false" customHeight="true" outlineLevel="0" collapsed="false">
      <c r="A2" s="2" t="s">
        <v>238</v>
      </c>
      <c r="B2" s="2"/>
      <c r="C2" s="2"/>
      <c r="D2" s="2"/>
      <c r="E2" s="2"/>
      <c r="F2" s="2"/>
      <c r="G2" s="2"/>
      <c r="H2" s="2"/>
      <c r="I2" s="2"/>
    </row>
    <row r="4" customFormat="false" ht="31.5" hidden="false" customHeight="true" outlineLevel="0" collapsed="false">
      <c r="A4" s="8" t="s">
        <v>80</v>
      </c>
      <c r="B4" s="8" t="s">
        <v>81</v>
      </c>
      <c r="C4" s="8" t="s">
        <v>82</v>
      </c>
      <c r="D4" s="8" t="s">
        <v>239</v>
      </c>
      <c r="E4" s="8" t="s">
        <v>240</v>
      </c>
      <c r="F4" s="8" t="s">
        <v>241</v>
      </c>
      <c r="G4" s="8" t="s">
        <v>242</v>
      </c>
      <c r="H4" s="8" t="s">
        <v>243</v>
      </c>
      <c r="I4" s="8" t="s">
        <v>244</v>
      </c>
    </row>
    <row r="5" customFormat="false" ht="35.05" hidden="false" customHeight="false" outlineLevel="0" collapsed="false">
      <c r="A5" s="13" t="s">
        <v>86</v>
      </c>
      <c r="B5" s="13" t="s">
        <v>87</v>
      </c>
      <c r="C5" s="13" t="s">
        <v>88</v>
      </c>
      <c r="D5" s="13" t="n">
        <v>2</v>
      </c>
      <c r="E5" s="13" t="n">
        <v>4</v>
      </c>
      <c r="F5" s="13" t="s">
        <v>245</v>
      </c>
      <c r="G5" s="13" t="s">
        <v>246</v>
      </c>
      <c r="H5" s="13" t="s">
        <v>247</v>
      </c>
      <c r="I5" s="13" t="s">
        <v>248</v>
      </c>
    </row>
    <row r="6" customFormat="false" ht="31.5" hidden="false" customHeight="true" outlineLevel="0" collapsed="false">
      <c r="A6" s="15" t="s">
        <v>86</v>
      </c>
      <c r="B6" s="15" t="s">
        <v>87</v>
      </c>
      <c r="C6" s="15" t="s">
        <v>91</v>
      </c>
      <c r="D6" s="15" t="n">
        <f aca="false">INDEX('Template 2 - Current State'!$D$6:$D$77,MATCH($B6,'Template 2 - Current State'!$B$6:$B$77,0))</f>
        <v>0</v>
      </c>
      <c r="E6" s="15"/>
      <c r="F6" s="15"/>
      <c r="G6" s="15"/>
      <c r="H6" s="15"/>
      <c r="I6" s="15"/>
    </row>
    <row r="7" customFormat="false" ht="31.5" hidden="false" customHeight="true" outlineLevel="0" collapsed="false">
      <c r="A7" s="15" t="s">
        <v>86</v>
      </c>
      <c r="B7" s="15" t="s">
        <v>92</v>
      </c>
      <c r="C7" s="15" t="s">
        <v>93</v>
      </c>
      <c r="D7" s="15" t="n">
        <f aca="false">INDEX('Template 2 - Current State'!$D$6:$D$77,MATCH($B7,'Template 2 - Current State'!$B$6:$B$77,0))</f>
        <v>0</v>
      </c>
      <c r="E7" s="15"/>
      <c r="F7" s="15"/>
      <c r="G7" s="15"/>
      <c r="H7" s="15"/>
      <c r="I7" s="15"/>
    </row>
    <row r="8" customFormat="false" ht="31.5" hidden="false" customHeight="true" outlineLevel="0" collapsed="false">
      <c r="A8" s="15" t="s">
        <v>86</v>
      </c>
      <c r="B8" s="15" t="s">
        <v>94</v>
      </c>
      <c r="C8" s="15" t="s">
        <v>95</v>
      </c>
      <c r="D8" s="15" t="n">
        <f aca="false">INDEX('Template 2 - Current State'!$D$6:$D$77,MATCH($B8,'Template 2 - Current State'!$B$6:$B$77,0))</f>
        <v>0</v>
      </c>
      <c r="E8" s="15"/>
      <c r="F8" s="15"/>
      <c r="G8" s="15"/>
      <c r="H8" s="15"/>
      <c r="I8" s="15"/>
    </row>
    <row r="9" customFormat="false" ht="31.5" hidden="false" customHeight="true" outlineLevel="0" collapsed="false">
      <c r="A9" s="15" t="s">
        <v>86</v>
      </c>
      <c r="B9" s="15" t="s">
        <v>96</v>
      </c>
      <c r="C9" s="15" t="s">
        <v>97</v>
      </c>
      <c r="D9" s="15" t="n">
        <f aca="false">INDEX('Template 2 - Current State'!$D$6:$D$77,MATCH($B9,'Template 2 - Current State'!$B$6:$B$77,0))</f>
        <v>0</v>
      </c>
      <c r="E9" s="15"/>
      <c r="F9" s="15"/>
      <c r="G9" s="15"/>
      <c r="H9" s="15"/>
      <c r="I9" s="15"/>
    </row>
    <row r="10" customFormat="false" ht="31.5" hidden="false" customHeight="true" outlineLevel="0" collapsed="false">
      <c r="A10" s="15" t="s">
        <v>86</v>
      </c>
      <c r="B10" s="15" t="s">
        <v>98</v>
      </c>
      <c r="C10" s="15" t="s">
        <v>99</v>
      </c>
      <c r="D10" s="15" t="n">
        <f aca="false">INDEX('Template 2 - Current State'!$D$6:$D$77,MATCH($B10,'Template 2 - Current State'!$B$6:$B$77,0))</f>
        <v>0</v>
      </c>
      <c r="E10" s="15"/>
      <c r="F10" s="15"/>
      <c r="G10" s="15"/>
      <c r="H10" s="15"/>
      <c r="I10" s="15"/>
    </row>
    <row r="11" customFormat="false" ht="31.5" hidden="false" customHeight="true" outlineLevel="0" collapsed="false">
      <c r="A11" s="15" t="s">
        <v>86</v>
      </c>
      <c r="B11" s="15" t="s">
        <v>100</v>
      </c>
      <c r="C11" s="15" t="s">
        <v>101</v>
      </c>
      <c r="D11" s="15" t="n">
        <f aca="false">INDEX('Template 2 - Current State'!$D$6:$D$77,MATCH($B11,'Template 2 - Current State'!$B$6:$B$77,0))</f>
        <v>0</v>
      </c>
      <c r="E11" s="15"/>
      <c r="F11" s="15"/>
      <c r="G11" s="15"/>
      <c r="H11" s="15"/>
      <c r="I11" s="15"/>
    </row>
    <row r="12" customFormat="false" ht="31.5" hidden="false" customHeight="true" outlineLevel="0" collapsed="false">
      <c r="A12" s="15" t="s">
        <v>86</v>
      </c>
      <c r="B12" s="15" t="s">
        <v>102</v>
      </c>
      <c r="C12" s="15" t="s">
        <v>103</v>
      </c>
      <c r="D12" s="15" t="n">
        <f aca="false">INDEX('Template 2 - Current State'!$D$6:$D$77,MATCH($B12,'Template 2 - Current State'!$B$6:$B$77,0))</f>
        <v>0</v>
      </c>
      <c r="E12" s="15"/>
      <c r="F12" s="15"/>
      <c r="G12" s="15"/>
      <c r="H12" s="15"/>
      <c r="I12" s="15"/>
    </row>
    <row r="13" customFormat="false" ht="31.5" hidden="false" customHeight="true" outlineLevel="0" collapsed="false">
      <c r="A13" s="15" t="s">
        <v>86</v>
      </c>
      <c r="B13" s="15" t="s">
        <v>104</v>
      </c>
      <c r="C13" s="15" t="s">
        <v>105</v>
      </c>
      <c r="D13" s="15" t="n">
        <f aca="false">INDEX('Template 2 - Current State'!$D$6:$D$77,MATCH($B13,'Template 2 - Current State'!$B$6:$B$77,0))</f>
        <v>0</v>
      </c>
      <c r="E13" s="15"/>
      <c r="F13" s="15"/>
      <c r="G13" s="15"/>
      <c r="H13" s="15"/>
      <c r="I13" s="15"/>
    </row>
    <row r="14" customFormat="false" ht="31.5" hidden="false" customHeight="true" outlineLevel="0" collapsed="false">
      <c r="A14" s="15" t="s">
        <v>86</v>
      </c>
      <c r="B14" s="15" t="s">
        <v>106</v>
      </c>
      <c r="C14" s="15" t="s">
        <v>107</v>
      </c>
      <c r="D14" s="15" t="n">
        <f aca="false">INDEX('Template 2 - Current State'!$D$6:$D$77,MATCH($B14,'Template 2 - Current State'!$B$6:$B$77,0))</f>
        <v>0</v>
      </c>
      <c r="E14" s="15"/>
      <c r="F14" s="15"/>
      <c r="G14" s="15"/>
      <c r="H14" s="15"/>
      <c r="I14" s="15"/>
    </row>
    <row r="15" customFormat="false" ht="31.5" hidden="false" customHeight="true" outlineLevel="0" collapsed="false">
      <c r="A15" s="15" t="s">
        <v>86</v>
      </c>
      <c r="B15" s="15" t="s">
        <v>108</v>
      </c>
      <c r="C15" s="15" t="s">
        <v>109</v>
      </c>
      <c r="D15" s="15" t="n">
        <f aca="false">INDEX('Template 2 - Current State'!$D$6:$D$77,MATCH($B15,'Template 2 - Current State'!$B$6:$B$77,0))</f>
        <v>0</v>
      </c>
      <c r="E15" s="15"/>
      <c r="F15" s="15"/>
      <c r="G15" s="15"/>
      <c r="H15" s="15"/>
      <c r="I15" s="15"/>
    </row>
    <row r="16" customFormat="false" ht="31.5" hidden="false" customHeight="true" outlineLevel="0" collapsed="false">
      <c r="A16" s="15" t="s">
        <v>86</v>
      </c>
      <c r="B16" s="15" t="s">
        <v>110</v>
      </c>
      <c r="C16" s="15" t="s">
        <v>111</v>
      </c>
      <c r="D16" s="15" t="n">
        <f aca="false">INDEX('Template 2 - Current State'!$D$6:$D$77,MATCH($B16,'Template 2 - Current State'!$B$6:$B$77,0))</f>
        <v>0</v>
      </c>
      <c r="E16" s="15"/>
      <c r="F16" s="15"/>
      <c r="G16" s="15"/>
      <c r="H16" s="15"/>
      <c r="I16" s="15"/>
    </row>
    <row r="17" customFormat="false" ht="31.5" hidden="false" customHeight="true" outlineLevel="0" collapsed="false">
      <c r="A17" s="15" t="s">
        <v>86</v>
      </c>
      <c r="B17" s="15" t="s">
        <v>112</v>
      </c>
      <c r="C17" s="15" t="s">
        <v>113</v>
      </c>
      <c r="D17" s="15" t="n">
        <f aca="false">INDEX('Template 2 - Current State'!$D$6:$D$77,MATCH($B17,'Template 2 - Current State'!$B$6:$B$77,0))</f>
        <v>0</v>
      </c>
      <c r="E17" s="15"/>
      <c r="F17" s="15"/>
      <c r="G17" s="15"/>
      <c r="H17" s="15"/>
      <c r="I17" s="15"/>
    </row>
    <row r="18" customFormat="false" ht="31.5" hidden="false" customHeight="true" outlineLevel="0" collapsed="false">
      <c r="A18" s="15" t="s">
        <v>86</v>
      </c>
      <c r="B18" s="15" t="s">
        <v>114</v>
      </c>
      <c r="C18" s="15" t="s">
        <v>115</v>
      </c>
      <c r="D18" s="15" t="n">
        <f aca="false">INDEX('Template 2 - Current State'!$D$6:$D$77,MATCH($B18,'Template 2 - Current State'!$B$6:$B$77,0))</f>
        <v>0</v>
      </c>
      <c r="E18" s="15"/>
      <c r="F18" s="15"/>
      <c r="G18" s="15"/>
      <c r="H18" s="15"/>
      <c r="I18" s="15"/>
    </row>
    <row r="19" customFormat="false" ht="31.5" hidden="false" customHeight="true" outlineLevel="0" collapsed="false">
      <c r="A19" s="15" t="s">
        <v>86</v>
      </c>
      <c r="B19" s="15" t="s">
        <v>116</v>
      </c>
      <c r="C19" s="15" t="s">
        <v>117</v>
      </c>
      <c r="D19" s="15" t="n">
        <f aca="false">INDEX('Template 2 - Current State'!$D$6:$D$77,MATCH($B19,'Template 2 - Current State'!$B$6:$B$77,0))</f>
        <v>0</v>
      </c>
      <c r="E19" s="15"/>
      <c r="F19" s="15"/>
      <c r="G19" s="15"/>
      <c r="H19" s="15"/>
      <c r="I19" s="15"/>
    </row>
    <row r="20" customFormat="false" ht="31.5" hidden="false" customHeight="true" outlineLevel="0" collapsed="false">
      <c r="A20" s="15" t="s">
        <v>86</v>
      </c>
      <c r="B20" s="15" t="s">
        <v>118</v>
      </c>
      <c r="C20" s="15" t="s">
        <v>119</v>
      </c>
      <c r="D20" s="15" t="n">
        <f aca="false">INDEX('Template 2 - Current State'!$D$6:$D$77,MATCH($B20,'Template 2 - Current State'!$B$6:$B$77,0))</f>
        <v>0</v>
      </c>
      <c r="E20" s="15"/>
      <c r="F20" s="15"/>
      <c r="G20" s="15"/>
      <c r="H20" s="15"/>
      <c r="I20" s="15"/>
    </row>
    <row r="21" customFormat="false" ht="31.5" hidden="false" customHeight="true" outlineLevel="0" collapsed="false">
      <c r="A21" s="15" t="s">
        <v>86</v>
      </c>
      <c r="B21" s="15" t="s">
        <v>120</v>
      </c>
      <c r="C21" s="15" t="s">
        <v>121</v>
      </c>
      <c r="D21" s="15" t="n">
        <f aca="false">INDEX('Template 2 - Current State'!$D$6:$D$77,MATCH($B21,'Template 2 - Current State'!$B$6:$B$77,0))</f>
        <v>0</v>
      </c>
      <c r="E21" s="15"/>
      <c r="F21" s="15"/>
      <c r="G21" s="15"/>
      <c r="H21" s="15"/>
      <c r="I21" s="15"/>
    </row>
    <row r="22" customFormat="false" ht="31.5" hidden="false" customHeight="true" outlineLevel="0" collapsed="false">
      <c r="A22" s="15" t="s">
        <v>86</v>
      </c>
      <c r="B22" s="15" t="s">
        <v>122</v>
      </c>
      <c r="C22" s="15" t="s">
        <v>123</v>
      </c>
      <c r="D22" s="15" t="n">
        <f aca="false">INDEX('Template 2 - Current State'!$D$6:$D$77,MATCH($B22,'Template 2 - Current State'!$B$6:$B$77,0))</f>
        <v>0</v>
      </c>
      <c r="E22" s="15"/>
      <c r="F22" s="15"/>
      <c r="G22" s="15"/>
      <c r="H22" s="15"/>
      <c r="I22" s="15"/>
    </row>
    <row r="23" customFormat="false" ht="31.5" hidden="false" customHeight="true" outlineLevel="0" collapsed="false">
      <c r="A23" s="15" t="s">
        <v>86</v>
      </c>
      <c r="B23" s="15" t="s">
        <v>124</v>
      </c>
      <c r="C23" s="15" t="s">
        <v>125</v>
      </c>
      <c r="D23" s="15" t="n">
        <f aca="false">INDEX('Template 2 - Current State'!$D$6:$D$77,MATCH($B23,'Template 2 - Current State'!$B$6:$B$77,0))</f>
        <v>0</v>
      </c>
      <c r="E23" s="15"/>
      <c r="F23" s="15"/>
      <c r="G23" s="15"/>
      <c r="H23" s="15"/>
      <c r="I23" s="15"/>
    </row>
    <row r="24" customFormat="false" ht="31.5" hidden="false" customHeight="true" outlineLevel="0" collapsed="false">
      <c r="A24" s="15" t="s">
        <v>86</v>
      </c>
      <c r="B24" s="15" t="s">
        <v>126</v>
      </c>
      <c r="C24" s="15" t="s">
        <v>127</v>
      </c>
      <c r="D24" s="15" t="n">
        <f aca="false">INDEX('Template 2 - Current State'!$D$6:$D$77,MATCH($B24,'Template 2 - Current State'!$B$6:$B$77,0))</f>
        <v>0</v>
      </c>
      <c r="E24" s="15"/>
      <c r="F24" s="15"/>
      <c r="G24" s="15"/>
      <c r="H24" s="15"/>
      <c r="I24" s="15"/>
    </row>
    <row r="25" customFormat="false" ht="31.5" hidden="false" customHeight="true" outlineLevel="0" collapsed="false">
      <c r="A25" s="15" t="s">
        <v>128</v>
      </c>
      <c r="B25" s="15" t="s">
        <v>129</v>
      </c>
      <c r="C25" s="15" t="s">
        <v>130</v>
      </c>
      <c r="D25" s="15" t="n">
        <f aca="false">INDEX('Template 2 - Current State'!$D$6:$D$77,MATCH($B25,'Template 2 - Current State'!$B$6:$B$77,0))</f>
        <v>0</v>
      </c>
      <c r="E25" s="15"/>
      <c r="F25" s="15"/>
      <c r="G25" s="15"/>
      <c r="H25" s="15"/>
      <c r="I25" s="15"/>
    </row>
    <row r="26" customFormat="false" ht="31.5" hidden="false" customHeight="true" outlineLevel="0" collapsed="false">
      <c r="A26" s="15" t="s">
        <v>128</v>
      </c>
      <c r="B26" s="15" t="s">
        <v>131</v>
      </c>
      <c r="C26" s="15" t="s">
        <v>132</v>
      </c>
      <c r="D26" s="15" t="n">
        <f aca="false">INDEX('Template 2 - Current State'!$D$6:$D$77,MATCH($B26,'Template 2 - Current State'!$B$6:$B$77,0))</f>
        <v>0</v>
      </c>
      <c r="E26" s="15"/>
      <c r="F26" s="15"/>
      <c r="G26" s="15"/>
      <c r="H26" s="15"/>
      <c r="I26" s="15"/>
    </row>
    <row r="27" customFormat="false" ht="31.5" hidden="false" customHeight="true" outlineLevel="0" collapsed="false">
      <c r="A27" s="15" t="s">
        <v>128</v>
      </c>
      <c r="B27" s="15" t="s">
        <v>133</v>
      </c>
      <c r="C27" s="15" t="s">
        <v>134</v>
      </c>
      <c r="D27" s="15" t="n">
        <f aca="false">INDEX('Template 2 - Current State'!$D$6:$D$77,MATCH($B27,'Template 2 - Current State'!$B$6:$B$77,0))</f>
        <v>0</v>
      </c>
      <c r="E27" s="15"/>
      <c r="F27" s="15"/>
      <c r="G27" s="15"/>
      <c r="H27" s="15"/>
      <c r="I27" s="15"/>
    </row>
    <row r="28" customFormat="false" ht="31.5" hidden="false" customHeight="true" outlineLevel="0" collapsed="false">
      <c r="A28" s="15" t="s">
        <v>128</v>
      </c>
      <c r="B28" s="15" t="s">
        <v>135</v>
      </c>
      <c r="C28" s="15" t="s">
        <v>136</v>
      </c>
      <c r="D28" s="15" t="n">
        <f aca="false">INDEX('Template 2 - Current State'!$D$6:$D$77,MATCH($B28,'Template 2 - Current State'!$B$6:$B$77,0))</f>
        <v>0</v>
      </c>
      <c r="E28" s="15"/>
      <c r="F28" s="15"/>
      <c r="G28" s="15"/>
      <c r="H28" s="15"/>
      <c r="I28" s="15"/>
    </row>
    <row r="29" customFormat="false" ht="31.5" hidden="false" customHeight="true" outlineLevel="0" collapsed="false">
      <c r="A29" s="15" t="s">
        <v>128</v>
      </c>
      <c r="B29" s="15" t="s">
        <v>137</v>
      </c>
      <c r="C29" s="15" t="s">
        <v>138</v>
      </c>
      <c r="D29" s="15" t="n">
        <f aca="false">INDEX('Template 2 - Current State'!$D$6:$D$77,MATCH($B29,'Template 2 - Current State'!$B$6:$B$77,0))</f>
        <v>0</v>
      </c>
      <c r="E29" s="15"/>
      <c r="F29" s="15"/>
      <c r="G29" s="15"/>
      <c r="H29" s="15"/>
      <c r="I29" s="15"/>
    </row>
    <row r="30" customFormat="false" ht="31.5" hidden="false" customHeight="true" outlineLevel="0" collapsed="false">
      <c r="A30" s="15" t="s">
        <v>128</v>
      </c>
      <c r="B30" s="15" t="s">
        <v>139</v>
      </c>
      <c r="C30" s="15" t="s">
        <v>140</v>
      </c>
      <c r="D30" s="15" t="n">
        <f aca="false">INDEX('Template 2 - Current State'!$D$6:$D$77,MATCH($B30,'Template 2 - Current State'!$B$6:$B$77,0))</f>
        <v>0</v>
      </c>
      <c r="E30" s="15"/>
      <c r="F30" s="15"/>
      <c r="G30" s="15"/>
      <c r="H30" s="15"/>
      <c r="I30" s="15"/>
    </row>
    <row r="31" customFormat="false" ht="31.5" hidden="false" customHeight="true" outlineLevel="0" collapsed="false">
      <c r="A31" s="15" t="s">
        <v>128</v>
      </c>
      <c r="B31" s="15" t="s">
        <v>141</v>
      </c>
      <c r="C31" s="15" t="s">
        <v>142</v>
      </c>
      <c r="D31" s="15" t="n">
        <f aca="false">INDEX('Template 2 - Current State'!$D$6:$D$77,MATCH($B31,'Template 2 - Current State'!$B$6:$B$77,0))</f>
        <v>0</v>
      </c>
      <c r="E31" s="15"/>
      <c r="F31" s="15"/>
      <c r="G31" s="15"/>
      <c r="H31" s="15"/>
      <c r="I31" s="15"/>
    </row>
    <row r="32" customFormat="false" ht="31.5" hidden="false" customHeight="true" outlineLevel="0" collapsed="false">
      <c r="A32" s="15" t="s">
        <v>128</v>
      </c>
      <c r="B32" s="15" t="s">
        <v>143</v>
      </c>
      <c r="C32" s="15" t="s">
        <v>144</v>
      </c>
      <c r="D32" s="15" t="n">
        <f aca="false">INDEX('Template 2 - Current State'!$D$6:$D$77,MATCH($B32,'Template 2 - Current State'!$B$6:$B$77,0))</f>
        <v>0</v>
      </c>
      <c r="E32" s="15"/>
      <c r="F32" s="15"/>
      <c r="G32" s="15"/>
      <c r="H32" s="15"/>
      <c r="I32" s="15"/>
    </row>
    <row r="33" customFormat="false" ht="31.5" hidden="false" customHeight="true" outlineLevel="0" collapsed="false">
      <c r="A33" s="15" t="s">
        <v>128</v>
      </c>
      <c r="B33" s="15" t="s">
        <v>145</v>
      </c>
      <c r="C33" s="15" t="s">
        <v>146</v>
      </c>
      <c r="D33" s="15" t="n">
        <f aca="false">INDEX('Template 2 - Current State'!$D$6:$D$77,MATCH($B33,'Template 2 - Current State'!$B$6:$B$77,0))</f>
        <v>0</v>
      </c>
      <c r="E33" s="15"/>
      <c r="F33" s="15"/>
      <c r="G33" s="15"/>
      <c r="H33" s="15"/>
      <c r="I33" s="15"/>
    </row>
    <row r="34" customFormat="false" ht="31.5" hidden="false" customHeight="true" outlineLevel="0" collapsed="false">
      <c r="A34" s="15" t="s">
        <v>128</v>
      </c>
      <c r="B34" s="15" t="s">
        <v>147</v>
      </c>
      <c r="C34" s="15" t="s">
        <v>148</v>
      </c>
      <c r="D34" s="15" t="n">
        <f aca="false">INDEX('Template 2 - Current State'!$D$6:$D$77,MATCH($B34,'Template 2 - Current State'!$B$6:$B$77,0))</f>
        <v>0</v>
      </c>
      <c r="E34" s="15"/>
      <c r="F34" s="15"/>
      <c r="G34" s="15"/>
      <c r="H34" s="15"/>
      <c r="I34" s="15"/>
    </row>
    <row r="35" customFormat="false" ht="31.5" hidden="false" customHeight="true" outlineLevel="0" collapsed="false">
      <c r="A35" s="15" t="s">
        <v>128</v>
      </c>
      <c r="B35" s="15" t="s">
        <v>149</v>
      </c>
      <c r="C35" s="15" t="s">
        <v>150</v>
      </c>
      <c r="D35" s="15" t="n">
        <f aca="false">INDEX('Template 2 - Current State'!$D$6:$D$77,MATCH($B35,'Template 2 - Current State'!$B$6:$B$77,0))</f>
        <v>0</v>
      </c>
      <c r="E35" s="15"/>
      <c r="F35" s="15"/>
      <c r="G35" s="15"/>
      <c r="H35" s="15"/>
      <c r="I35" s="15"/>
    </row>
    <row r="36" customFormat="false" ht="31.5" hidden="false" customHeight="true" outlineLevel="0" collapsed="false">
      <c r="A36" s="15" t="s">
        <v>128</v>
      </c>
      <c r="B36" s="15" t="s">
        <v>151</v>
      </c>
      <c r="C36" s="15" t="s">
        <v>152</v>
      </c>
      <c r="D36" s="15" t="n">
        <f aca="false">INDEX('Template 2 - Current State'!$D$6:$D$77,MATCH($B36,'Template 2 - Current State'!$B$6:$B$77,0))</f>
        <v>0</v>
      </c>
      <c r="E36" s="15"/>
      <c r="F36" s="15"/>
      <c r="G36" s="15"/>
      <c r="H36" s="15"/>
      <c r="I36" s="15"/>
    </row>
    <row r="37" customFormat="false" ht="31.5" hidden="false" customHeight="true" outlineLevel="0" collapsed="false">
      <c r="A37" s="15" t="s">
        <v>128</v>
      </c>
      <c r="B37" s="15" t="s">
        <v>153</v>
      </c>
      <c r="C37" s="15" t="s">
        <v>154</v>
      </c>
      <c r="D37" s="15" t="n">
        <f aca="false">INDEX('Template 2 - Current State'!$D$6:$D$77,MATCH($B37,'Template 2 - Current State'!$B$6:$B$77,0))</f>
        <v>0</v>
      </c>
      <c r="E37" s="15"/>
      <c r="F37" s="15"/>
      <c r="G37" s="15"/>
      <c r="H37" s="15"/>
      <c r="I37" s="15"/>
    </row>
    <row r="38" customFormat="false" ht="31.5" hidden="false" customHeight="true" outlineLevel="0" collapsed="false">
      <c r="A38" s="15" t="s">
        <v>128</v>
      </c>
      <c r="B38" s="15" t="s">
        <v>155</v>
      </c>
      <c r="C38" s="15" t="s">
        <v>156</v>
      </c>
      <c r="D38" s="15" t="n">
        <f aca="false">INDEX('Template 2 - Current State'!$D$6:$D$77,MATCH($B38,'Template 2 - Current State'!$B$6:$B$77,0))</f>
        <v>0</v>
      </c>
      <c r="E38" s="15"/>
      <c r="F38" s="15"/>
      <c r="G38" s="15"/>
      <c r="H38" s="15"/>
      <c r="I38" s="15"/>
    </row>
    <row r="39" customFormat="false" ht="31.5" hidden="false" customHeight="true" outlineLevel="0" collapsed="false">
      <c r="A39" s="15" t="s">
        <v>128</v>
      </c>
      <c r="B39" s="15" t="s">
        <v>157</v>
      </c>
      <c r="C39" s="15" t="s">
        <v>158</v>
      </c>
      <c r="D39" s="15" t="n">
        <f aca="false">INDEX('Template 2 - Current State'!$D$6:$D$77,MATCH($B39,'Template 2 - Current State'!$B$6:$B$77,0))</f>
        <v>0</v>
      </c>
      <c r="E39" s="15"/>
      <c r="F39" s="15"/>
      <c r="G39" s="15"/>
      <c r="H39" s="15"/>
      <c r="I39" s="15"/>
    </row>
    <row r="40" customFormat="false" ht="31.5" hidden="false" customHeight="true" outlineLevel="0" collapsed="false">
      <c r="A40" s="15" t="s">
        <v>128</v>
      </c>
      <c r="B40" s="15" t="s">
        <v>159</v>
      </c>
      <c r="C40" s="15" t="s">
        <v>160</v>
      </c>
      <c r="D40" s="15" t="n">
        <f aca="false">INDEX('Template 2 - Current State'!$D$6:$D$77,MATCH($B40,'Template 2 - Current State'!$B$6:$B$77,0))</f>
        <v>0</v>
      </c>
      <c r="E40" s="15"/>
      <c r="F40" s="15"/>
      <c r="G40" s="15"/>
      <c r="H40" s="15"/>
      <c r="I40" s="15"/>
    </row>
    <row r="41" customFormat="false" ht="31.5" hidden="false" customHeight="true" outlineLevel="0" collapsed="false">
      <c r="A41" s="15" t="s">
        <v>128</v>
      </c>
      <c r="B41" s="15" t="s">
        <v>161</v>
      </c>
      <c r="C41" s="15" t="s">
        <v>162</v>
      </c>
      <c r="D41" s="15" t="n">
        <f aca="false">INDEX('Template 2 - Current State'!$D$6:$D$77,MATCH($B41,'Template 2 - Current State'!$B$6:$B$77,0))</f>
        <v>0</v>
      </c>
      <c r="E41" s="15"/>
      <c r="F41" s="15"/>
      <c r="G41" s="15"/>
      <c r="H41" s="15"/>
      <c r="I41" s="15"/>
    </row>
    <row r="42" customFormat="false" ht="31.5" hidden="false" customHeight="true" outlineLevel="0" collapsed="false">
      <c r="A42" s="15" t="s">
        <v>128</v>
      </c>
      <c r="B42" s="15" t="s">
        <v>163</v>
      </c>
      <c r="C42" s="15" t="s">
        <v>164</v>
      </c>
      <c r="D42" s="15" t="n">
        <f aca="false">INDEX('Template 2 - Current State'!$D$6:$D$77,MATCH($B42,'Template 2 - Current State'!$B$6:$B$77,0))</f>
        <v>0</v>
      </c>
      <c r="E42" s="15"/>
      <c r="F42" s="15"/>
      <c r="G42" s="15"/>
      <c r="H42" s="15"/>
      <c r="I42" s="15"/>
    </row>
    <row r="43" customFormat="false" ht="31.5" hidden="false" customHeight="true" outlineLevel="0" collapsed="false">
      <c r="A43" s="15" t="s">
        <v>165</v>
      </c>
      <c r="B43" s="15" t="s">
        <v>166</v>
      </c>
      <c r="C43" s="15" t="s">
        <v>167</v>
      </c>
      <c r="D43" s="15" t="n">
        <f aca="false">INDEX('Template 2 - Current State'!$D$6:$D$77,MATCH($B43,'Template 2 - Current State'!$B$6:$B$77,0))</f>
        <v>0</v>
      </c>
      <c r="E43" s="15"/>
      <c r="F43" s="15"/>
      <c r="G43" s="15"/>
      <c r="H43" s="15"/>
      <c r="I43" s="15"/>
    </row>
    <row r="44" customFormat="false" ht="31.5" hidden="false" customHeight="true" outlineLevel="0" collapsed="false">
      <c r="A44" s="15" t="s">
        <v>165</v>
      </c>
      <c r="B44" s="15" t="s">
        <v>168</v>
      </c>
      <c r="C44" s="15" t="s">
        <v>169</v>
      </c>
      <c r="D44" s="15" t="n">
        <f aca="false">INDEX('Template 2 - Current State'!$D$6:$D$77,MATCH($B44,'Template 2 - Current State'!$B$6:$B$77,0))</f>
        <v>0</v>
      </c>
      <c r="E44" s="15"/>
      <c r="F44" s="15"/>
      <c r="G44" s="15"/>
      <c r="H44" s="15"/>
      <c r="I44" s="15"/>
    </row>
    <row r="45" customFormat="false" ht="31.5" hidden="false" customHeight="true" outlineLevel="0" collapsed="false">
      <c r="A45" s="15" t="s">
        <v>165</v>
      </c>
      <c r="B45" s="15" t="s">
        <v>170</v>
      </c>
      <c r="C45" s="15" t="s">
        <v>171</v>
      </c>
      <c r="D45" s="15" t="n">
        <f aca="false">INDEX('Template 2 - Current State'!$D$6:$D$77,MATCH($B45,'Template 2 - Current State'!$B$6:$B$77,0))</f>
        <v>0</v>
      </c>
      <c r="E45" s="15"/>
      <c r="F45" s="15"/>
      <c r="G45" s="15"/>
      <c r="H45" s="15"/>
      <c r="I45" s="15"/>
    </row>
    <row r="46" customFormat="false" ht="31.5" hidden="false" customHeight="true" outlineLevel="0" collapsed="false">
      <c r="A46" s="15" t="s">
        <v>165</v>
      </c>
      <c r="B46" s="15" t="s">
        <v>172</v>
      </c>
      <c r="C46" s="15" t="s">
        <v>173</v>
      </c>
      <c r="D46" s="15" t="n">
        <f aca="false">INDEX('Template 2 - Current State'!$D$6:$D$77,MATCH($B46,'Template 2 - Current State'!$B$6:$B$77,0))</f>
        <v>0</v>
      </c>
      <c r="E46" s="15"/>
      <c r="F46" s="15"/>
      <c r="G46" s="15"/>
      <c r="H46" s="15"/>
      <c r="I46" s="15"/>
    </row>
    <row r="47" customFormat="false" ht="31.5" hidden="false" customHeight="true" outlineLevel="0" collapsed="false">
      <c r="A47" s="15" t="s">
        <v>165</v>
      </c>
      <c r="B47" s="15" t="s">
        <v>174</v>
      </c>
      <c r="C47" s="15" t="s">
        <v>175</v>
      </c>
      <c r="D47" s="15" t="n">
        <f aca="false">INDEX('Template 2 - Current State'!$D$6:$D$77,MATCH($B47,'Template 2 - Current State'!$B$6:$B$77,0))</f>
        <v>0</v>
      </c>
      <c r="E47" s="15"/>
      <c r="F47" s="15"/>
      <c r="G47" s="15"/>
      <c r="H47" s="15"/>
      <c r="I47" s="15"/>
    </row>
    <row r="48" customFormat="false" ht="31.5" hidden="false" customHeight="true" outlineLevel="0" collapsed="false">
      <c r="A48" s="15" t="s">
        <v>165</v>
      </c>
      <c r="B48" s="15" t="s">
        <v>176</v>
      </c>
      <c r="C48" s="15" t="s">
        <v>177</v>
      </c>
      <c r="D48" s="15" t="n">
        <f aca="false">INDEX('Template 2 - Current State'!$D$6:$D$77,MATCH($B48,'Template 2 - Current State'!$B$6:$B$77,0))</f>
        <v>0</v>
      </c>
      <c r="E48" s="15"/>
      <c r="F48" s="15"/>
      <c r="G48" s="15"/>
      <c r="H48" s="15"/>
      <c r="I48" s="15"/>
    </row>
    <row r="49" customFormat="false" ht="31.5" hidden="false" customHeight="true" outlineLevel="0" collapsed="false">
      <c r="A49" s="15" t="s">
        <v>165</v>
      </c>
      <c r="B49" s="15" t="s">
        <v>178</v>
      </c>
      <c r="C49" s="15" t="s">
        <v>179</v>
      </c>
      <c r="D49" s="15" t="n">
        <f aca="false">INDEX('Template 2 - Current State'!$D$6:$D$77,MATCH($B49,'Template 2 - Current State'!$B$6:$B$77,0))</f>
        <v>0</v>
      </c>
      <c r="E49" s="15"/>
      <c r="F49" s="15"/>
      <c r="G49" s="15"/>
      <c r="H49" s="15"/>
      <c r="I49" s="15"/>
    </row>
    <row r="50" customFormat="false" ht="31.5" hidden="false" customHeight="true" outlineLevel="0" collapsed="false">
      <c r="A50" s="15" t="s">
        <v>165</v>
      </c>
      <c r="B50" s="15" t="s">
        <v>180</v>
      </c>
      <c r="C50" s="15" t="s">
        <v>181</v>
      </c>
      <c r="D50" s="15" t="n">
        <f aca="false">INDEX('Template 2 - Current State'!$D$6:$D$77,MATCH($B50,'Template 2 - Current State'!$B$6:$B$77,0))</f>
        <v>0</v>
      </c>
      <c r="E50" s="15"/>
      <c r="F50" s="15"/>
      <c r="G50" s="15"/>
      <c r="H50" s="15"/>
      <c r="I50" s="15"/>
    </row>
    <row r="51" customFormat="false" ht="31.5" hidden="false" customHeight="true" outlineLevel="0" collapsed="false">
      <c r="A51" s="15" t="s">
        <v>165</v>
      </c>
      <c r="B51" s="15" t="s">
        <v>182</v>
      </c>
      <c r="C51" s="15" t="s">
        <v>183</v>
      </c>
      <c r="D51" s="15" t="n">
        <f aca="false">INDEX('Template 2 - Current State'!$D$6:$D$77,MATCH($B51,'Template 2 - Current State'!$B$6:$B$77,0))</f>
        <v>0</v>
      </c>
      <c r="E51" s="15"/>
      <c r="F51" s="15"/>
      <c r="G51" s="15"/>
      <c r="H51" s="15"/>
      <c r="I51" s="15"/>
    </row>
    <row r="52" customFormat="false" ht="31.5" hidden="false" customHeight="true" outlineLevel="0" collapsed="false">
      <c r="A52" s="15" t="s">
        <v>165</v>
      </c>
      <c r="B52" s="15" t="s">
        <v>184</v>
      </c>
      <c r="C52" s="15" t="s">
        <v>185</v>
      </c>
      <c r="D52" s="15" t="n">
        <f aca="false">INDEX('Template 2 - Current State'!$D$6:$D$77,MATCH($B52,'Template 2 - Current State'!$B$6:$B$77,0))</f>
        <v>0</v>
      </c>
      <c r="E52" s="15"/>
      <c r="F52" s="15"/>
      <c r="G52" s="15"/>
      <c r="H52" s="15"/>
      <c r="I52" s="15"/>
    </row>
    <row r="53" customFormat="false" ht="31.5" hidden="false" customHeight="true" outlineLevel="0" collapsed="false">
      <c r="A53" s="15" t="s">
        <v>165</v>
      </c>
      <c r="B53" s="15" t="s">
        <v>186</v>
      </c>
      <c r="C53" s="15" t="s">
        <v>187</v>
      </c>
      <c r="D53" s="15" t="n">
        <f aca="false">INDEX('Template 2 - Current State'!$D$6:$D$77,MATCH($B53,'Template 2 - Current State'!$B$6:$B$77,0))</f>
        <v>0</v>
      </c>
      <c r="E53" s="15"/>
      <c r="F53" s="15"/>
      <c r="G53" s="15"/>
      <c r="H53" s="15"/>
      <c r="I53" s="15"/>
    </row>
    <row r="54" customFormat="false" ht="31.5" hidden="false" customHeight="true" outlineLevel="0" collapsed="false">
      <c r="A54" s="15" t="s">
        <v>165</v>
      </c>
      <c r="B54" s="15" t="s">
        <v>188</v>
      </c>
      <c r="C54" s="15" t="s">
        <v>189</v>
      </c>
      <c r="D54" s="15" t="n">
        <f aca="false">INDEX('Template 2 - Current State'!$D$6:$D$77,MATCH($B54,'Template 2 - Current State'!$B$6:$B$77,0))</f>
        <v>0</v>
      </c>
      <c r="E54" s="15"/>
      <c r="F54" s="15"/>
      <c r="G54" s="15"/>
      <c r="H54" s="15"/>
      <c r="I54" s="15"/>
    </row>
    <row r="55" customFormat="false" ht="31.5" hidden="false" customHeight="true" outlineLevel="0" collapsed="false">
      <c r="A55" s="15" t="s">
        <v>165</v>
      </c>
      <c r="B55" s="15" t="s">
        <v>190</v>
      </c>
      <c r="C55" s="15" t="s">
        <v>191</v>
      </c>
      <c r="D55" s="15" t="n">
        <f aca="false">INDEX('Template 2 - Current State'!$D$6:$D$77,MATCH($B55,'Template 2 - Current State'!$B$6:$B$77,0))</f>
        <v>0</v>
      </c>
      <c r="E55" s="15"/>
      <c r="F55" s="15"/>
      <c r="G55" s="15"/>
      <c r="H55" s="15"/>
      <c r="I55" s="15"/>
    </row>
    <row r="56" customFormat="false" ht="31.5" hidden="false" customHeight="true" outlineLevel="0" collapsed="false">
      <c r="A56" s="15" t="s">
        <v>165</v>
      </c>
      <c r="B56" s="15" t="s">
        <v>192</v>
      </c>
      <c r="C56" s="15" t="s">
        <v>193</v>
      </c>
      <c r="D56" s="15" t="n">
        <f aca="false">INDEX('Template 2 - Current State'!$D$6:$D$77,MATCH($B56,'Template 2 - Current State'!$B$6:$B$77,0))</f>
        <v>0</v>
      </c>
      <c r="E56" s="15"/>
      <c r="F56" s="15"/>
      <c r="G56" s="15"/>
      <c r="H56" s="15"/>
      <c r="I56" s="15"/>
    </row>
    <row r="57" customFormat="false" ht="31.5" hidden="false" customHeight="true" outlineLevel="0" collapsed="false">
      <c r="A57" s="15" t="s">
        <v>165</v>
      </c>
      <c r="B57" s="15" t="s">
        <v>194</v>
      </c>
      <c r="C57" s="15" t="s">
        <v>195</v>
      </c>
      <c r="D57" s="15" t="n">
        <f aca="false">INDEX('Template 2 - Current State'!$D$6:$D$77,MATCH($B57,'Template 2 - Current State'!$B$6:$B$77,0))</f>
        <v>0</v>
      </c>
      <c r="E57" s="15"/>
      <c r="F57" s="15"/>
      <c r="G57" s="15"/>
      <c r="H57" s="15"/>
      <c r="I57" s="15"/>
    </row>
    <row r="58" customFormat="false" ht="31.5" hidden="false" customHeight="true" outlineLevel="0" collapsed="false">
      <c r="A58" s="15" t="s">
        <v>165</v>
      </c>
      <c r="B58" s="15" t="s">
        <v>196</v>
      </c>
      <c r="C58" s="15" t="s">
        <v>197</v>
      </c>
      <c r="D58" s="15" t="n">
        <f aca="false">INDEX('Template 2 - Current State'!$D$6:$D$77,MATCH($B58,'Template 2 - Current State'!$B$6:$B$77,0))</f>
        <v>0</v>
      </c>
      <c r="E58" s="15"/>
      <c r="F58" s="15"/>
      <c r="G58" s="15"/>
      <c r="H58" s="15"/>
      <c r="I58" s="15"/>
    </row>
    <row r="59" customFormat="false" ht="31.5" hidden="false" customHeight="true" outlineLevel="0" collapsed="false">
      <c r="A59" s="15" t="s">
        <v>165</v>
      </c>
      <c r="B59" s="15" t="s">
        <v>198</v>
      </c>
      <c r="C59" s="15" t="s">
        <v>199</v>
      </c>
      <c r="D59" s="15" t="n">
        <f aca="false">INDEX('Template 2 - Current State'!$D$6:$D$77,MATCH($B59,'Template 2 - Current State'!$B$6:$B$77,0))</f>
        <v>0</v>
      </c>
      <c r="E59" s="15"/>
      <c r="F59" s="15"/>
      <c r="G59" s="15"/>
      <c r="H59" s="15"/>
      <c r="I59" s="15"/>
    </row>
    <row r="60" customFormat="false" ht="31.5" hidden="false" customHeight="true" outlineLevel="0" collapsed="false">
      <c r="A60" s="15" t="s">
        <v>165</v>
      </c>
      <c r="B60" s="15" t="s">
        <v>200</v>
      </c>
      <c r="C60" s="15" t="s">
        <v>201</v>
      </c>
      <c r="D60" s="15" t="n">
        <f aca="false">INDEX('Template 2 - Current State'!$D$6:$D$77,MATCH($B60,'Template 2 - Current State'!$B$6:$B$77,0))</f>
        <v>0</v>
      </c>
      <c r="E60" s="15"/>
      <c r="F60" s="15"/>
      <c r="G60" s="15"/>
      <c r="H60" s="15"/>
      <c r="I60" s="15"/>
    </row>
    <row r="61" customFormat="false" ht="31.5" hidden="false" customHeight="true" outlineLevel="0" collapsed="false">
      <c r="A61" s="15" t="s">
        <v>165</v>
      </c>
      <c r="B61" s="15" t="s">
        <v>202</v>
      </c>
      <c r="C61" s="15" t="s">
        <v>203</v>
      </c>
      <c r="D61" s="15" t="n">
        <f aca="false">INDEX('Template 2 - Current State'!$D$6:$D$77,MATCH($B61,'Template 2 - Current State'!$B$6:$B$77,0))</f>
        <v>0</v>
      </c>
      <c r="E61" s="15"/>
      <c r="F61" s="15"/>
      <c r="G61" s="15"/>
      <c r="H61" s="15"/>
      <c r="I61" s="15"/>
    </row>
    <row r="62" customFormat="false" ht="31.5" hidden="false" customHeight="true" outlineLevel="0" collapsed="false">
      <c r="A62" s="15" t="s">
        <v>165</v>
      </c>
      <c r="B62" s="15" t="s">
        <v>204</v>
      </c>
      <c r="C62" s="15" t="s">
        <v>205</v>
      </c>
      <c r="D62" s="15" t="n">
        <f aca="false">INDEX('Template 2 - Current State'!$D$6:$D$77,MATCH($B62,'Template 2 - Current State'!$B$6:$B$77,0))</f>
        <v>0</v>
      </c>
      <c r="E62" s="15"/>
      <c r="F62" s="15"/>
      <c r="G62" s="15"/>
      <c r="H62" s="15"/>
      <c r="I62" s="15"/>
    </row>
    <row r="63" customFormat="false" ht="31.5" hidden="false" customHeight="true" outlineLevel="0" collapsed="false">
      <c r="A63" s="15" t="s">
        <v>165</v>
      </c>
      <c r="B63" s="15" t="s">
        <v>206</v>
      </c>
      <c r="C63" s="15" t="s">
        <v>207</v>
      </c>
      <c r="D63" s="15" t="n">
        <f aca="false">INDEX('Template 2 - Current State'!$D$6:$D$77,MATCH($B63,'Template 2 - Current State'!$B$6:$B$77,0))</f>
        <v>0</v>
      </c>
      <c r="E63" s="15"/>
      <c r="F63" s="15"/>
      <c r="G63" s="15"/>
      <c r="H63" s="15"/>
      <c r="I63" s="15"/>
    </row>
    <row r="64" customFormat="false" ht="31.5" hidden="false" customHeight="true" outlineLevel="0" collapsed="false">
      <c r="A64" s="15" t="s">
        <v>165</v>
      </c>
      <c r="B64" s="15" t="s">
        <v>208</v>
      </c>
      <c r="C64" s="15" t="s">
        <v>209</v>
      </c>
      <c r="D64" s="15" t="n">
        <f aca="false">INDEX('Template 2 - Current State'!$D$6:$D$77,MATCH($B64,'Template 2 - Current State'!$B$6:$B$77,0))</f>
        <v>0</v>
      </c>
      <c r="E64" s="15"/>
      <c r="F64" s="15"/>
      <c r="G64" s="15"/>
      <c r="H64" s="15"/>
      <c r="I64" s="15"/>
    </row>
    <row r="65" customFormat="false" ht="31.5" hidden="false" customHeight="true" outlineLevel="0" collapsed="false">
      <c r="A65" s="15" t="s">
        <v>210</v>
      </c>
      <c r="B65" s="15" t="s">
        <v>211</v>
      </c>
      <c r="C65" s="15" t="s">
        <v>212</v>
      </c>
      <c r="D65" s="15" t="n">
        <f aca="false">INDEX('Template 2 - Current State'!$D$6:$D$77,MATCH($B65,'Template 2 - Current State'!$B$6:$B$77,0))</f>
        <v>0</v>
      </c>
      <c r="E65" s="15"/>
      <c r="F65" s="15"/>
      <c r="G65" s="15"/>
      <c r="H65" s="15"/>
      <c r="I65" s="15"/>
    </row>
    <row r="66" customFormat="false" ht="31.5" hidden="false" customHeight="true" outlineLevel="0" collapsed="false">
      <c r="A66" s="15" t="s">
        <v>210</v>
      </c>
      <c r="B66" s="15" t="s">
        <v>213</v>
      </c>
      <c r="C66" s="15" t="s">
        <v>214</v>
      </c>
      <c r="D66" s="15" t="n">
        <f aca="false">INDEX('Template 2 - Current State'!$D$6:$D$77,MATCH($B66,'Template 2 - Current State'!$B$6:$B$77,0))</f>
        <v>0</v>
      </c>
      <c r="E66" s="15"/>
      <c r="F66" s="15"/>
      <c r="G66" s="15"/>
      <c r="H66" s="15"/>
      <c r="I66" s="15"/>
    </row>
    <row r="67" customFormat="false" ht="31.5" hidden="false" customHeight="true" outlineLevel="0" collapsed="false">
      <c r="A67" s="15" t="s">
        <v>210</v>
      </c>
      <c r="B67" s="15" t="s">
        <v>215</v>
      </c>
      <c r="C67" s="15" t="s">
        <v>216</v>
      </c>
      <c r="D67" s="15" t="n">
        <f aca="false">INDEX('Template 2 - Current State'!$D$6:$D$77,MATCH($B67,'Template 2 - Current State'!$B$6:$B$77,0))</f>
        <v>0</v>
      </c>
      <c r="E67" s="15"/>
      <c r="F67" s="15"/>
      <c r="G67" s="15"/>
      <c r="H67" s="15"/>
      <c r="I67" s="15"/>
    </row>
    <row r="68" customFormat="false" ht="31.5" hidden="false" customHeight="true" outlineLevel="0" collapsed="false">
      <c r="A68" s="15" t="s">
        <v>210</v>
      </c>
      <c r="B68" s="15" t="s">
        <v>217</v>
      </c>
      <c r="C68" s="15" t="s">
        <v>218</v>
      </c>
      <c r="D68" s="15" t="n">
        <f aca="false">INDEX('Template 2 - Current State'!$D$6:$D$77,MATCH($B68,'Template 2 - Current State'!$B$6:$B$77,0))</f>
        <v>0</v>
      </c>
      <c r="E68" s="15"/>
      <c r="F68" s="15"/>
      <c r="G68" s="15"/>
      <c r="H68" s="15"/>
      <c r="I68" s="15"/>
    </row>
    <row r="69" customFormat="false" ht="31.5" hidden="false" customHeight="true" outlineLevel="0" collapsed="false">
      <c r="A69" s="15" t="s">
        <v>210</v>
      </c>
      <c r="B69" s="15" t="s">
        <v>219</v>
      </c>
      <c r="C69" s="15" t="s">
        <v>220</v>
      </c>
      <c r="D69" s="15" t="n">
        <f aca="false">INDEX('Template 2 - Current State'!$D$6:$D$77,MATCH($B69,'Template 2 - Current State'!$B$6:$B$77,0))</f>
        <v>0</v>
      </c>
      <c r="E69" s="15"/>
      <c r="F69" s="15"/>
      <c r="G69" s="15"/>
      <c r="H69" s="15"/>
      <c r="I69" s="15"/>
    </row>
    <row r="70" customFormat="false" ht="31.5" hidden="false" customHeight="true" outlineLevel="0" collapsed="false">
      <c r="A70" s="15" t="s">
        <v>210</v>
      </c>
      <c r="B70" s="15" t="s">
        <v>221</v>
      </c>
      <c r="C70" s="15" t="s">
        <v>222</v>
      </c>
      <c r="D70" s="15" t="n">
        <f aca="false">INDEX('Template 2 - Current State'!$D$6:$D$77,MATCH($B70,'Template 2 - Current State'!$B$6:$B$77,0))</f>
        <v>0</v>
      </c>
      <c r="E70" s="15"/>
      <c r="F70" s="15"/>
      <c r="G70" s="15"/>
      <c r="H70" s="15"/>
      <c r="I70" s="15"/>
    </row>
    <row r="71" customFormat="false" ht="31.5" hidden="false" customHeight="true" outlineLevel="0" collapsed="false">
      <c r="A71" s="15" t="s">
        <v>210</v>
      </c>
      <c r="B71" s="15" t="s">
        <v>223</v>
      </c>
      <c r="C71" s="15" t="s">
        <v>224</v>
      </c>
      <c r="D71" s="15" t="n">
        <f aca="false">INDEX('Template 2 - Current State'!$D$6:$D$77,MATCH($B71,'Template 2 - Current State'!$B$6:$B$77,0))</f>
        <v>0</v>
      </c>
      <c r="E71" s="15"/>
      <c r="F71" s="15"/>
      <c r="G71" s="15"/>
      <c r="H71" s="15"/>
      <c r="I71" s="15"/>
    </row>
    <row r="72" customFormat="false" ht="31.5" hidden="false" customHeight="true" outlineLevel="0" collapsed="false">
      <c r="A72" s="15" t="s">
        <v>210</v>
      </c>
      <c r="B72" s="15" t="s">
        <v>225</v>
      </c>
      <c r="C72" s="15" t="s">
        <v>226</v>
      </c>
      <c r="D72" s="15" t="n">
        <f aca="false">INDEX('Template 2 - Current State'!$D$6:$D$77,MATCH($B72,'Template 2 - Current State'!$B$6:$B$77,0))</f>
        <v>0</v>
      </c>
      <c r="E72" s="15"/>
      <c r="F72" s="15"/>
      <c r="G72" s="15"/>
      <c r="H72" s="15"/>
      <c r="I72" s="15"/>
    </row>
    <row r="73" customFormat="false" ht="31.5" hidden="false" customHeight="true" outlineLevel="0" collapsed="false">
      <c r="A73" s="15" t="s">
        <v>210</v>
      </c>
      <c r="B73" s="15" t="s">
        <v>227</v>
      </c>
      <c r="C73" s="15" t="s">
        <v>228</v>
      </c>
      <c r="D73" s="15" t="n">
        <f aca="false">INDEX('Template 2 - Current State'!$D$6:$D$77,MATCH($B73,'Template 2 - Current State'!$B$6:$B$77,0))</f>
        <v>0</v>
      </c>
      <c r="E73" s="15"/>
      <c r="F73" s="15"/>
      <c r="G73" s="15"/>
      <c r="H73" s="15"/>
      <c r="I73" s="15"/>
    </row>
    <row r="74" customFormat="false" ht="31.5" hidden="false" customHeight="true" outlineLevel="0" collapsed="false">
      <c r="A74" s="15" t="s">
        <v>210</v>
      </c>
      <c r="B74" s="15" t="s">
        <v>229</v>
      </c>
      <c r="C74" s="15" t="s">
        <v>230</v>
      </c>
      <c r="D74" s="15" t="n">
        <f aca="false">INDEX('Template 2 - Current State'!$D$6:$D$77,MATCH($B74,'Template 2 - Current State'!$B$6:$B$77,0))</f>
        <v>0</v>
      </c>
      <c r="E74" s="15"/>
      <c r="F74" s="15"/>
      <c r="G74" s="15"/>
      <c r="H74" s="15"/>
      <c r="I74" s="15"/>
    </row>
    <row r="75" customFormat="false" ht="31.5" hidden="false" customHeight="true" outlineLevel="0" collapsed="false">
      <c r="A75" s="15" t="s">
        <v>210</v>
      </c>
      <c r="B75" s="15" t="s">
        <v>231</v>
      </c>
      <c r="C75" s="15" t="s">
        <v>232</v>
      </c>
      <c r="D75" s="15" t="n">
        <f aca="false">INDEX('Template 2 - Current State'!$D$6:$D$77,MATCH($B75,'Template 2 - Current State'!$B$6:$B$77,0))</f>
        <v>0</v>
      </c>
      <c r="E75" s="15"/>
      <c r="F75" s="15"/>
      <c r="G75" s="15"/>
      <c r="H75" s="15"/>
      <c r="I75" s="15"/>
    </row>
    <row r="76" customFormat="false" ht="31.5" hidden="false" customHeight="true" outlineLevel="0" collapsed="false">
      <c r="A76" s="15" t="s">
        <v>210</v>
      </c>
      <c r="B76" s="15" t="s">
        <v>233</v>
      </c>
      <c r="C76" s="15" t="s">
        <v>234</v>
      </c>
      <c r="D76" s="15" t="n">
        <f aca="false">INDEX('Template 2 - Current State'!$D$6:$D$77,MATCH($B76,'Template 2 - Current State'!$B$6:$B$77,0))</f>
        <v>0</v>
      </c>
      <c r="E76" s="15"/>
      <c r="F76" s="15"/>
      <c r="G76" s="15"/>
      <c r="H76" s="15"/>
      <c r="I76" s="15"/>
    </row>
    <row r="77" customFormat="false" ht="31.5" hidden="false" customHeight="true" outlineLevel="0" collapsed="false">
      <c r="A77" s="15" t="s">
        <v>210</v>
      </c>
      <c r="B77" s="15" t="s">
        <v>235</v>
      </c>
      <c r="C77" s="15" t="s">
        <v>236</v>
      </c>
      <c r="D77" s="15" t="n">
        <f aca="false">INDEX('Template 2 - Current State'!$D$6:$D$77,MATCH($B77,'Template 2 - Current State'!$B$6:$B$77,0))</f>
        <v>0</v>
      </c>
      <c r="E77" s="15"/>
      <c r="F77" s="15"/>
      <c r="G77" s="15"/>
      <c r="H77" s="15"/>
      <c r="I77" s="15"/>
    </row>
  </sheetData>
  <mergeCells count="2">
    <mergeCell ref="A1:I1"/>
    <mergeCell ref="A2:I2"/>
  </mergeCells>
  <dataValidations count="2">
    <dataValidation allowBlank="true" errorStyle="stop" operator="between" showDropDown="false" showErrorMessage="false" showInputMessage="false" sqref="E6:E77" type="list">
      <formula1>"0,1,2,3,4"</formula1>
      <formula2>0</formula2>
    </dataValidation>
    <dataValidation allowBlank="true" errorStyle="stop" operator="between" showDropDown="false" showErrorMessage="false" showInputMessage="false" sqref="F6:F77" type="list">
      <formula1>"Critical,High,Medium,Low"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4"/>
    <col collapsed="false" customWidth="true" hidden="false" outlineLevel="0" max="5" min="4" style="0" width="12"/>
    <col collapsed="false" customWidth="true" hidden="false" outlineLevel="0" max="6" min="6" style="0" width="10"/>
    <col collapsed="false" customWidth="true" hidden="false" outlineLevel="0" max="7" min="7" style="0" width="14"/>
    <col collapsed="false" customWidth="true" hidden="false" outlineLevel="0" max="9" min="8" style="0" width="34"/>
  </cols>
  <sheetData>
    <row r="1" customFormat="false" ht="27.75" hidden="false" customHeight="true" outlineLevel="0" collapsed="false">
      <c r="A1" s="1" t="s">
        <v>30</v>
      </c>
      <c r="B1" s="1"/>
      <c r="C1" s="1"/>
      <c r="D1" s="1"/>
      <c r="E1" s="1"/>
      <c r="F1" s="1"/>
      <c r="G1" s="1"/>
      <c r="H1" s="1"/>
      <c r="I1" s="1"/>
    </row>
    <row r="2" customFormat="false" ht="18" hidden="false" customHeight="true" outlineLevel="0" collapsed="false">
      <c r="A2" s="2" t="s">
        <v>249</v>
      </c>
      <c r="B2" s="2"/>
      <c r="C2" s="2"/>
      <c r="D2" s="2"/>
      <c r="E2" s="2"/>
      <c r="F2" s="2"/>
      <c r="G2" s="2"/>
      <c r="H2" s="2"/>
      <c r="I2" s="2"/>
    </row>
    <row r="4" customFormat="false" ht="31.5" hidden="false" customHeight="true" outlineLevel="0" collapsed="false">
      <c r="A4" s="8" t="s">
        <v>80</v>
      </c>
      <c r="B4" s="8" t="s">
        <v>81</v>
      </c>
      <c r="C4" s="8" t="s">
        <v>82</v>
      </c>
      <c r="D4" s="8" t="s">
        <v>239</v>
      </c>
      <c r="E4" s="8" t="s">
        <v>250</v>
      </c>
      <c r="F4" s="8" t="s">
        <v>251</v>
      </c>
      <c r="G4" s="8" t="s">
        <v>252</v>
      </c>
      <c r="H4" s="8" t="s">
        <v>253</v>
      </c>
      <c r="I4" s="8" t="s">
        <v>254</v>
      </c>
    </row>
    <row r="5" customFormat="false" ht="35.05" hidden="false" customHeight="false" outlineLevel="0" collapsed="false">
      <c r="A5" s="13" t="s">
        <v>86</v>
      </c>
      <c r="B5" s="13" t="s">
        <v>87</v>
      </c>
      <c r="C5" s="13" t="s">
        <v>88</v>
      </c>
      <c r="D5" s="13"/>
      <c r="E5" s="13"/>
      <c r="F5" s="13"/>
      <c r="G5" s="13"/>
      <c r="H5" s="13" t="s">
        <v>255</v>
      </c>
      <c r="I5" s="13" t="s">
        <v>256</v>
      </c>
    </row>
    <row r="6" customFormat="false" ht="31.5" hidden="false" customHeight="true" outlineLevel="0" collapsed="false">
      <c r="A6" s="15" t="s">
        <v>86</v>
      </c>
      <c r="B6" s="15" t="s">
        <v>87</v>
      </c>
      <c r="C6" s="15" t="s">
        <v>91</v>
      </c>
      <c r="D6" s="15" t="n">
        <f aca="false">INDEX('Template 2 - Current State'!$D$6:$D$77,MATCH($B6,'Template 2 - Current State'!$B$6:$B$77,0))</f>
        <v>0</v>
      </c>
      <c r="E6" s="15" t="n">
        <f aca="false">INDEX('Template 3 - Target State'!$E$6:$E$77,MATCH($B6,'Template 3 - Target State'!$B$6:$B$77,0))</f>
        <v>0</v>
      </c>
      <c r="F6" s="15" t="str">
        <f aca="false">IF(OR(D6="",E6=""),"",E6-D6)</f>
        <v/>
      </c>
      <c r="G6" s="15" t="str">
        <f aca="false">IF(F6="","",IF(F6&lt;=0,"None",IF(F6=1,"Minor",IF(F6=2,"Moderate","Major"))))</f>
        <v/>
      </c>
      <c r="H6" s="15"/>
      <c r="I6" s="15"/>
    </row>
    <row r="7" customFormat="false" ht="31.5" hidden="false" customHeight="true" outlineLevel="0" collapsed="false">
      <c r="A7" s="15" t="s">
        <v>86</v>
      </c>
      <c r="B7" s="15" t="s">
        <v>92</v>
      </c>
      <c r="C7" s="15" t="s">
        <v>93</v>
      </c>
      <c r="D7" s="15" t="n">
        <f aca="false">INDEX('Template 2 - Current State'!$D$6:$D$77,MATCH($B7,'Template 2 - Current State'!$B$6:$B$77,0))</f>
        <v>0</v>
      </c>
      <c r="E7" s="15" t="n">
        <f aca="false">INDEX('Template 3 - Target State'!$E$6:$E$77,MATCH($B7,'Template 3 - Target State'!$B$6:$B$77,0))</f>
        <v>0</v>
      </c>
      <c r="F7" s="15" t="str">
        <f aca="false">IF(OR(D7="",E7=""),"",E7-D7)</f>
        <v/>
      </c>
      <c r="G7" s="15" t="str">
        <f aca="false">IF(F7="","",IF(F7&lt;=0,"None",IF(F7=1,"Minor",IF(F7=2,"Moderate","Major"))))</f>
        <v/>
      </c>
      <c r="H7" s="15"/>
      <c r="I7" s="15"/>
    </row>
    <row r="8" customFormat="false" ht="31.5" hidden="false" customHeight="true" outlineLevel="0" collapsed="false">
      <c r="A8" s="15" t="s">
        <v>86</v>
      </c>
      <c r="B8" s="15" t="s">
        <v>94</v>
      </c>
      <c r="C8" s="15" t="s">
        <v>95</v>
      </c>
      <c r="D8" s="15" t="n">
        <f aca="false">INDEX('Template 2 - Current State'!$D$6:$D$77,MATCH($B8,'Template 2 - Current State'!$B$6:$B$77,0))</f>
        <v>0</v>
      </c>
      <c r="E8" s="15" t="n">
        <f aca="false">INDEX('Template 3 - Target State'!$E$6:$E$77,MATCH($B8,'Template 3 - Target State'!$B$6:$B$77,0))</f>
        <v>0</v>
      </c>
      <c r="F8" s="15" t="str">
        <f aca="false">IF(OR(D8="",E8=""),"",E8-D8)</f>
        <v/>
      </c>
      <c r="G8" s="15" t="str">
        <f aca="false">IF(F8="","",IF(F8&lt;=0,"None",IF(F8=1,"Minor",IF(F8=2,"Moderate","Major"))))</f>
        <v/>
      </c>
      <c r="H8" s="15"/>
      <c r="I8" s="15"/>
    </row>
    <row r="9" customFormat="false" ht="31.5" hidden="false" customHeight="true" outlineLevel="0" collapsed="false">
      <c r="A9" s="15" t="s">
        <v>86</v>
      </c>
      <c r="B9" s="15" t="s">
        <v>96</v>
      </c>
      <c r="C9" s="15" t="s">
        <v>97</v>
      </c>
      <c r="D9" s="15" t="n">
        <f aca="false">INDEX('Template 2 - Current State'!$D$6:$D$77,MATCH($B9,'Template 2 - Current State'!$B$6:$B$77,0))</f>
        <v>0</v>
      </c>
      <c r="E9" s="15" t="n">
        <f aca="false">INDEX('Template 3 - Target State'!$E$6:$E$77,MATCH($B9,'Template 3 - Target State'!$B$6:$B$77,0))</f>
        <v>0</v>
      </c>
      <c r="F9" s="15" t="str">
        <f aca="false">IF(OR(D9="",E9=""),"",E9-D9)</f>
        <v/>
      </c>
      <c r="G9" s="15" t="str">
        <f aca="false">IF(F9="","",IF(F9&lt;=0,"None",IF(F9=1,"Minor",IF(F9=2,"Moderate","Major"))))</f>
        <v/>
      </c>
      <c r="H9" s="15"/>
      <c r="I9" s="15"/>
    </row>
    <row r="10" customFormat="false" ht="31.5" hidden="false" customHeight="true" outlineLevel="0" collapsed="false">
      <c r="A10" s="15" t="s">
        <v>86</v>
      </c>
      <c r="B10" s="15" t="s">
        <v>98</v>
      </c>
      <c r="C10" s="15" t="s">
        <v>99</v>
      </c>
      <c r="D10" s="15" t="n">
        <f aca="false">INDEX('Template 2 - Current State'!$D$6:$D$77,MATCH($B10,'Template 2 - Current State'!$B$6:$B$77,0))</f>
        <v>0</v>
      </c>
      <c r="E10" s="15" t="n">
        <f aca="false">INDEX('Template 3 - Target State'!$E$6:$E$77,MATCH($B10,'Template 3 - Target State'!$B$6:$B$77,0))</f>
        <v>0</v>
      </c>
      <c r="F10" s="15" t="str">
        <f aca="false">IF(OR(D10="",E10=""),"",E10-D10)</f>
        <v/>
      </c>
      <c r="G10" s="15" t="str">
        <f aca="false">IF(F10="","",IF(F10&lt;=0,"None",IF(F10=1,"Minor",IF(F10=2,"Moderate","Major"))))</f>
        <v/>
      </c>
      <c r="H10" s="15"/>
      <c r="I10" s="15"/>
    </row>
    <row r="11" customFormat="false" ht="31.5" hidden="false" customHeight="true" outlineLevel="0" collapsed="false">
      <c r="A11" s="15" t="s">
        <v>86</v>
      </c>
      <c r="B11" s="15" t="s">
        <v>100</v>
      </c>
      <c r="C11" s="15" t="s">
        <v>101</v>
      </c>
      <c r="D11" s="15" t="n">
        <f aca="false">INDEX('Template 2 - Current State'!$D$6:$D$77,MATCH($B11,'Template 2 - Current State'!$B$6:$B$77,0))</f>
        <v>0</v>
      </c>
      <c r="E11" s="15" t="n">
        <f aca="false">INDEX('Template 3 - Target State'!$E$6:$E$77,MATCH($B11,'Template 3 - Target State'!$B$6:$B$77,0))</f>
        <v>0</v>
      </c>
      <c r="F11" s="15" t="str">
        <f aca="false">IF(OR(D11="",E11=""),"",E11-D11)</f>
        <v/>
      </c>
      <c r="G11" s="15" t="str">
        <f aca="false">IF(F11="","",IF(F11&lt;=0,"None",IF(F11=1,"Minor",IF(F11=2,"Moderate","Major"))))</f>
        <v/>
      </c>
      <c r="H11" s="15"/>
      <c r="I11" s="15"/>
    </row>
    <row r="12" customFormat="false" ht="31.5" hidden="false" customHeight="true" outlineLevel="0" collapsed="false">
      <c r="A12" s="15" t="s">
        <v>86</v>
      </c>
      <c r="B12" s="15" t="s">
        <v>102</v>
      </c>
      <c r="C12" s="15" t="s">
        <v>103</v>
      </c>
      <c r="D12" s="15" t="n">
        <f aca="false">INDEX('Template 2 - Current State'!$D$6:$D$77,MATCH($B12,'Template 2 - Current State'!$B$6:$B$77,0))</f>
        <v>0</v>
      </c>
      <c r="E12" s="15" t="n">
        <f aca="false">INDEX('Template 3 - Target State'!$E$6:$E$77,MATCH($B12,'Template 3 - Target State'!$B$6:$B$77,0))</f>
        <v>0</v>
      </c>
      <c r="F12" s="15" t="str">
        <f aca="false">IF(OR(D12="",E12=""),"",E12-D12)</f>
        <v/>
      </c>
      <c r="G12" s="15" t="str">
        <f aca="false">IF(F12="","",IF(F12&lt;=0,"None",IF(F12=1,"Minor",IF(F12=2,"Moderate","Major"))))</f>
        <v/>
      </c>
      <c r="H12" s="15"/>
      <c r="I12" s="15"/>
    </row>
    <row r="13" customFormat="false" ht="31.5" hidden="false" customHeight="true" outlineLevel="0" collapsed="false">
      <c r="A13" s="15" t="s">
        <v>86</v>
      </c>
      <c r="B13" s="15" t="s">
        <v>104</v>
      </c>
      <c r="C13" s="15" t="s">
        <v>105</v>
      </c>
      <c r="D13" s="15" t="n">
        <f aca="false">INDEX('Template 2 - Current State'!$D$6:$D$77,MATCH($B13,'Template 2 - Current State'!$B$6:$B$77,0))</f>
        <v>0</v>
      </c>
      <c r="E13" s="15" t="n">
        <f aca="false">INDEX('Template 3 - Target State'!$E$6:$E$77,MATCH($B13,'Template 3 - Target State'!$B$6:$B$77,0))</f>
        <v>0</v>
      </c>
      <c r="F13" s="15" t="str">
        <f aca="false">IF(OR(D13="",E13=""),"",E13-D13)</f>
        <v/>
      </c>
      <c r="G13" s="15" t="str">
        <f aca="false">IF(F13="","",IF(F13&lt;=0,"None",IF(F13=1,"Minor",IF(F13=2,"Moderate","Major"))))</f>
        <v/>
      </c>
      <c r="H13" s="15"/>
      <c r="I13" s="15"/>
    </row>
    <row r="14" customFormat="false" ht="31.5" hidden="false" customHeight="true" outlineLevel="0" collapsed="false">
      <c r="A14" s="15" t="s">
        <v>86</v>
      </c>
      <c r="B14" s="15" t="s">
        <v>106</v>
      </c>
      <c r="C14" s="15" t="s">
        <v>107</v>
      </c>
      <c r="D14" s="15" t="n">
        <f aca="false">INDEX('Template 2 - Current State'!$D$6:$D$77,MATCH($B14,'Template 2 - Current State'!$B$6:$B$77,0))</f>
        <v>0</v>
      </c>
      <c r="E14" s="15" t="n">
        <f aca="false">INDEX('Template 3 - Target State'!$E$6:$E$77,MATCH($B14,'Template 3 - Target State'!$B$6:$B$77,0))</f>
        <v>0</v>
      </c>
      <c r="F14" s="15" t="str">
        <f aca="false">IF(OR(D14="",E14=""),"",E14-D14)</f>
        <v/>
      </c>
      <c r="G14" s="15" t="str">
        <f aca="false">IF(F14="","",IF(F14&lt;=0,"None",IF(F14=1,"Minor",IF(F14=2,"Moderate","Major"))))</f>
        <v/>
      </c>
      <c r="H14" s="15"/>
      <c r="I14" s="15"/>
    </row>
    <row r="15" customFormat="false" ht="31.5" hidden="false" customHeight="true" outlineLevel="0" collapsed="false">
      <c r="A15" s="15" t="s">
        <v>86</v>
      </c>
      <c r="B15" s="15" t="s">
        <v>108</v>
      </c>
      <c r="C15" s="15" t="s">
        <v>109</v>
      </c>
      <c r="D15" s="15" t="n">
        <f aca="false">INDEX('Template 2 - Current State'!$D$6:$D$77,MATCH($B15,'Template 2 - Current State'!$B$6:$B$77,0))</f>
        <v>0</v>
      </c>
      <c r="E15" s="15" t="n">
        <f aca="false">INDEX('Template 3 - Target State'!$E$6:$E$77,MATCH($B15,'Template 3 - Target State'!$B$6:$B$77,0))</f>
        <v>0</v>
      </c>
      <c r="F15" s="15" t="str">
        <f aca="false">IF(OR(D15="",E15=""),"",E15-D15)</f>
        <v/>
      </c>
      <c r="G15" s="15" t="str">
        <f aca="false">IF(F15="","",IF(F15&lt;=0,"None",IF(F15=1,"Minor",IF(F15=2,"Moderate","Major"))))</f>
        <v/>
      </c>
      <c r="H15" s="15"/>
      <c r="I15" s="15"/>
    </row>
    <row r="16" customFormat="false" ht="31.5" hidden="false" customHeight="true" outlineLevel="0" collapsed="false">
      <c r="A16" s="15" t="s">
        <v>86</v>
      </c>
      <c r="B16" s="15" t="s">
        <v>110</v>
      </c>
      <c r="C16" s="15" t="s">
        <v>111</v>
      </c>
      <c r="D16" s="15" t="n">
        <f aca="false">INDEX('Template 2 - Current State'!$D$6:$D$77,MATCH($B16,'Template 2 - Current State'!$B$6:$B$77,0))</f>
        <v>0</v>
      </c>
      <c r="E16" s="15" t="n">
        <f aca="false">INDEX('Template 3 - Target State'!$E$6:$E$77,MATCH($B16,'Template 3 - Target State'!$B$6:$B$77,0))</f>
        <v>0</v>
      </c>
      <c r="F16" s="15" t="str">
        <f aca="false">IF(OR(D16="",E16=""),"",E16-D16)</f>
        <v/>
      </c>
      <c r="G16" s="15" t="str">
        <f aca="false">IF(F16="","",IF(F16&lt;=0,"None",IF(F16=1,"Minor",IF(F16=2,"Moderate","Major"))))</f>
        <v/>
      </c>
      <c r="H16" s="15"/>
      <c r="I16" s="15"/>
    </row>
    <row r="17" customFormat="false" ht="31.5" hidden="false" customHeight="true" outlineLevel="0" collapsed="false">
      <c r="A17" s="15" t="s">
        <v>86</v>
      </c>
      <c r="B17" s="15" t="s">
        <v>112</v>
      </c>
      <c r="C17" s="15" t="s">
        <v>113</v>
      </c>
      <c r="D17" s="15" t="n">
        <f aca="false">INDEX('Template 2 - Current State'!$D$6:$D$77,MATCH($B17,'Template 2 - Current State'!$B$6:$B$77,0))</f>
        <v>0</v>
      </c>
      <c r="E17" s="15" t="n">
        <f aca="false">INDEX('Template 3 - Target State'!$E$6:$E$77,MATCH($B17,'Template 3 - Target State'!$B$6:$B$77,0))</f>
        <v>0</v>
      </c>
      <c r="F17" s="15" t="str">
        <f aca="false">IF(OR(D17="",E17=""),"",E17-D17)</f>
        <v/>
      </c>
      <c r="G17" s="15" t="str">
        <f aca="false">IF(F17="","",IF(F17&lt;=0,"None",IF(F17=1,"Minor",IF(F17=2,"Moderate","Major"))))</f>
        <v/>
      </c>
      <c r="H17" s="15"/>
      <c r="I17" s="15"/>
    </row>
    <row r="18" customFormat="false" ht="31.5" hidden="false" customHeight="true" outlineLevel="0" collapsed="false">
      <c r="A18" s="15" t="s">
        <v>86</v>
      </c>
      <c r="B18" s="15" t="s">
        <v>114</v>
      </c>
      <c r="C18" s="15" t="s">
        <v>115</v>
      </c>
      <c r="D18" s="15" t="n">
        <f aca="false">INDEX('Template 2 - Current State'!$D$6:$D$77,MATCH($B18,'Template 2 - Current State'!$B$6:$B$77,0))</f>
        <v>0</v>
      </c>
      <c r="E18" s="15" t="n">
        <f aca="false">INDEX('Template 3 - Target State'!$E$6:$E$77,MATCH($B18,'Template 3 - Target State'!$B$6:$B$77,0))</f>
        <v>0</v>
      </c>
      <c r="F18" s="15" t="str">
        <f aca="false">IF(OR(D18="",E18=""),"",E18-D18)</f>
        <v/>
      </c>
      <c r="G18" s="15" t="str">
        <f aca="false">IF(F18="","",IF(F18&lt;=0,"None",IF(F18=1,"Minor",IF(F18=2,"Moderate","Major"))))</f>
        <v/>
      </c>
      <c r="H18" s="15"/>
      <c r="I18" s="15"/>
    </row>
    <row r="19" customFormat="false" ht="31.5" hidden="false" customHeight="true" outlineLevel="0" collapsed="false">
      <c r="A19" s="15" t="s">
        <v>86</v>
      </c>
      <c r="B19" s="15" t="s">
        <v>116</v>
      </c>
      <c r="C19" s="15" t="s">
        <v>117</v>
      </c>
      <c r="D19" s="15" t="n">
        <f aca="false">INDEX('Template 2 - Current State'!$D$6:$D$77,MATCH($B19,'Template 2 - Current State'!$B$6:$B$77,0))</f>
        <v>0</v>
      </c>
      <c r="E19" s="15" t="n">
        <f aca="false">INDEX('Template 3 - Target State'!$E$6:$E$77,MATCH($B19,'Template 3 - Target State'!$B$6:$B$77,0))</f>
        <v>0</v>
      </c>
      <c r="F19" s="15" t="str">
        <f aca="false">IF(OR(D19="",E19=""),"",E19-D19)</f>
        <v/>
      </c>
      <c r="G19" s="15" t="str">
        <f aca="false">IF(F19="","",IF(F19&lt;=0,"None",IF(F19=1,"Minor",IF(F19=2,"Moderate","Major"))))</f>
        <v/>
      </c>
      <c r="H19" s="15"/>
      <c r="I19" s="15"/>
    </row>
    <row r="20" customFormat="false" ht="31.5" hidden="false" customHeight="true" outlineLevel="0" collapsed="false">
      <c r="A20" s="15" t="s">
        <v>86</v>
      </c>
      <c r="B20" s="15" t="s">
        <v>118</v>
      </c>
      <c r="C20" s="15" t="s">
        <v>119</v>
      </c>
      <c r="D20" s="15" t="n">
        <f aca="false">INDEX('Template 2 - Current State'!$D$6:$D$77,MATCH($B20,'Template 2 - Current State'!$B$6:$B$77,0))</f>
        <v>0</v>
      </c>
      <c r="E20" s="15" t="n">
        <f aca="false">INDEX('Template 3 - Target State'!$E$6:$E$77,MATCH($B20,'Template 3 - Target State'!$B$6:$B$77,0))</f>
        <v>0</v>
      </c>
      <c r="F20" s="15" t="str">
        <f aca="false">IF(OR(D20="",E20=""),"",E20-D20)</f>
        <v/>
      </c>
      <c r="G20" s="15" t="str">
        <f aca="false">IF(F20="","",IF(F20&lt;=0,"None",IF(F20=1,"Minor",IF(F20=2,"Moderate","Major"))))</f>
        <v/>
      </c>
      <c r="H20" s="15"/>
      <c r="I20" s="15"/>
    </row>
    <row r="21" customFormat="false" ht="31.5" hidden="false" customHeight="true" outlineLevel="0" collapsed="false">
      <c r="A21" s="15" t="s">
        <v>86</v>
      </c>
      <c r="B21" s="15" t="s">
        <v>120</v>
      </c>
      <c r="C21" s="15" t="s">
        <v>121</v>
      </c>
      <c r="D21" s="15" t="n">
        <f aca="false">INDEX('Template 2 - Current State'!$D$6:$D$77,MATCH($B21,'Template 2 - Current State'!$B$6:$B$77,0))</f>
        <v>0</v>
      </c>
      <c r="E21" s="15" t="n">
        <f aca="false">INDEX('Template 3 - Target State'!$E$6:$E$77,MATCH($B21,'Template 3 - Target State'!$B$6:$B$77,0))</f>
        <v>0</v>
      </c>
      <c r="F21" s="15" t="str">
        <f aca="false">IF(OR(D21="",E21=""),"",E21-D21)</f>
        <v/>
      </c>
      <c r="G21" s="15" t="str">
        <f aca="false">IF(F21="","",IF(F21&lt;=0,"None",IF(F21=1,"Minor",IF(F21=2,"Moderate","Major"))))</f>
        <v/>
      </c>
      <c r="H21" s="15"/>
      <c r="I21" s="15"/>
    </row>
    <row r="22" customFormat="false" ht="31.5" hidden="false" customHeight="true" outlineLevel="0" collapsed="false">
      <c r="A22" s="15" t="s">
        <v>86</v>
      </c>
      <c r="B22" s="15" t="s">
        <v>122</v>
      </c>
      <c r="C22" s="15" t="s">
        <v>123</v>
      </c>
      <c r="D22" s="15" t="n">
        <f aca="false">INDEX('Template 2 - Current State'!$D$6:$D$77,MATCH($B22,'Template 2 - Current State'!$B$6:$B$77,0))</f>
        <v>0</v>
      </c>
      <c r="E22" s="15" t="n">
        <f aca="false">INDEX('Template 3 - Target State'!$E$6:$E$77,MATCH($B22,'Template 3 - Target State'!$B$6:$B$77,0))</f>
        <v>0</v>
      </c>
      <c r="F22" s="15" t="str">
        <f aca="false">IF(OR(D22="",E22=""),"",E22-D22)</f>
        <v/>
      </c>
      <c r="G22" s="15" t="str">
        <f aca="false">IF(F22="","",IF(F22&lt;=0,"None",IF(F22=1,"Minor",IF(F22=2,"Moderate","Major"))))</f>
        <v/>
      </c>
      <c r="H22" s="15"/>
      <c r="I22" s="15"/>
    </row>
    <row r="23" customFormat="false" ht="31.5" hidden="false" customHeight="true" outlineLevel="0" collapsed="false">
      <c r="A23" s="15" t="s">
        <v>86</v>
      </c>
      <c r="B23" s="15" t="s">
        <v>124</v>
      </c>
      <c r="C23" s="15" t="s">
        <v>125</v>
      </c>
      <c r="D23" s="15" t="n">
        <f aca="false">INDEX('Template 2 - Current State'!$D$6:$D$77,MATCH($B23,'Template 2 - Current State'!$B$6:$B$77,0))</f>
        <v>0</v>
      </c>
      <c r="E23" s="15" t="n">
        <f aca="false">INDEX('Template 3 - Target State'!$E$6:$E$77,MATCH($B23,'Template 3 - Target State'!$B$6:$B$77,0))</f>
        <v>0</v>
      </c>
      <c r="F23" s="15" t="str">
        <f aca="false">IF(OR(D23="",E23=""),"",E23-D23)</f>
        <v/>
      </c>
      <c r="G23" s="15" t="str">
        <f aca="false">IF(F23="","",IF(F23&lt;=0,"None",IF(F23=1,"Minor",IF(F23=2,"Moderate","Major"))))</f>
        <v/>
      </c>
      <c r="H23" s="15"/>
      <c r="I23" s="15"/>
    </row>
    <row r="24" customFormat="false" ht="31.5" hidden="false" customHeight="true" outlineLevel="0" collapsed="false">
      <c r="A24" s="15" t="s">
        <v>86</v>
      </c>
      <c r="B24" s="15" t="s">
        <v>126</v>
      </c>
      <c r="C24" s="15" t="s">
        <v>127</v>
      </c>
      <c r="D24" s="15" t="n">
        <f aca="false">INDEX('Template 2 - Current State'!$D$6:$D$77,MATCH($B24,'Template 2 - Current State'!$B$6:$B$77,0))</f>
        <v>0</v>
      </c>
      <c r="E24" s="15" t="n">
        <f aca="false">INDEX('Template 3 - Target State'!$E$6:$E$77,MATCH($B24,'Template 3 - Target State'!$B$6:$B$77,0))</f>
        <v>0</v>
      </c>
      <c r="F24" s="15" t="str">
        <f aca="false">IF(OR(D24="",E24=""),"",E24-D24)</f>
        <v/>
      </c>
      <c r="G24" s="15" t="str">
        <f aca="false">IF(F24="","",IF(F24&lt;=0,"None",IF(F24=1,"Minor",IF(F24=2,"Moderate","Major"))))</f>
        <v/>
      </c>
      <c r="H24" s="15"/>
      <c r="I24" s="15"/>
    </row>
    <row r="25" customFormat="false" ht="31.5" hidden="false" customHeight="true" outlineLevel="0" collapsed="false">
      <c r="A25" s="15" t="s">
        <v>128</v>
      </c>
      <c r="B25" s="15" t="s">
        <v>129</v>
      </c>
      <c r="C25" s="15" t="s">
        <v>130</v>
      </c>
      <c r="D25" s="15" t="n">
        <f aca="false">INDEX('Template 2 - Current State'!$D$6:$D$77,MATCH($B25,'Template 2 - Current State'!$B$6:$B$77,0))</f>
        <v>0</v>
      </c>
      <c r="E25" s="15" t="n">
        <f aca="false">INDEX('Template 3 - Target State'!$E$6:$E$77,MATCH($B25,'Template 3 - Target State'!$B$6:$B$77,0))</f>
        <v>0</v>
      </c>
      <c r="F25" s="15" t="str">
        <f aca="false">IF(OR(D25="",E25=""),"",E25-D25)</f>
        <v/>
      </c>
      <c r="G25" s="15" t="str">
        <f aca="false">IF(F25="","",IF(F25&lt;=0,"None",IF(F25=1,"Minor",IF(F25=2,"Moderate","Major"))))</f>
        <v/>
      </c>
      <c r="H25" s="15"/>
      <c r="I25" s="15"/>
    </row>
    <row r="26" customFormat="false" ht="31.5" hidden="false" customHeight="true" outlineLevel="0" collapsed="false">
      <c r="A26" s="15" t="s">
        <v>128</v>
      </c>
      <c r="B26" s="15" t="s">
        <v>131</v>
      </c>
      <c r="C26" s="15" t="s">
        <v>132</v>
      </c>
      <c r="D26" s="15" t="n">
        <f aca="false">INDEX('Template 2 - Current State'!$D$6:$D$77,MATCH($B26,'Template 2 - Current State'!$B$6:$B$77,0))</f>
        <v>0</v>
      </c>
      <c r="E26" s="15" t="n">
        <f aca="false">INDEX('Template 3 - Target State'!$E$6:$E$77,MATCH($B26,'Template 3 - Target State'!$B$6:$B$77,0))</f>
        <v>0</v>
      </c>
      <c r="F26" s="15" t="str">
        <f aca="false">IF(OR(D26="",E26=""),"",E26-D26)</f>
        <v/>
      </c>
      <c r="G26" s="15" t="str">
        <f aca="false">IF(F26="","",IF(F26&lt;=0,"None",IF(F26=1,"Minor",IF(F26=2,"Moderate","Major"))))</f>
        <v/>
      </c>
      <c r="H26" s="15"/>
      <c r="I26" s="15"/>
    </row>
    <row r="27" customFormat="false" ht="31.5" hidden="false" customHeight="true" outlineLevel="0" collapsed="false">
      <c r="A27" s="15" t="s">
        <v>128</v>
      </c>
      <c r="B27" s="15" t="s">
        <v>133</v>
      </c>
      <c r="C27" s="15" t="s">
        <v>134</v>
      </c>
      <c r="D27" s="15" t="n">
        <f aca="false">INDEX('Template 2 - Current State'!$D$6:$D$77,MATCH($B27,'Template 2 - Current State'!$B$6:$B$77,0))</f>
        <v>0</v>
      </c>
      <c r="E27" s="15" t="n">
        <f aca="false">INDEX('Template 3 - Target State'!$E$6:$E$77,MATCH($B27,'Template 3 - Target State'!$B$6:$B$77,0))</f>
        <v>0</v>
      </c>
      <c r="F27" s="15" t="str">
        <f aca="false">IF(OR(D27="",E27=""),"",E27-D27)</f>
        <v/>
      </c>
      <c r="G27" s="15" t="str">
        <f aca="false">IF(F27="","",IF(F27&lt;=0,"None",IF(F27=1,"Minor",IF(F27=2,"Moderate","Major"))))</f>
        <v/>
      </c>
      <c r="H27" s="15"/>
      <c r="I27" s="15"/>
    </row>
    <row r="28" customFormat="false" ht="31.5" hidden="false" customHeight="true" outlineLevel="0" collapsed="false">
      <c r="A28" s="15" t="s">
        <v>128</v>
      </c>
      <c r="B28" s="15" t="s">
        <v>135</v>
      </c>
      <c r="C28" s="15" t="s">
        <v>136</v>
      </c>
      <c r="D28" s="15" t="n">
        <f aca="false">INDEX('Template 2 - Current State'!$D$6:$D$77,MATCH($B28,'Template 2 - Current State'!$B$6:$B$77,0))</f>
        <v>0</v>
      </c>
      <c r="E28" s="15" t="n">
        <f aca="false">INDEX('Template 3 - Target State'!$E$6:$E$77,MATCH($B28,'Template 3 - Target State'!$B$6:$B$77,0))</f>
        <v>0</v>
      </c>
      <c r="F28" s="15" t="str">
        <f aca="false">IF(OR(D28="",E28=""),"",E28-D28)</f>
        <v/>
      </c>
      <c r="G28" s="15" t="str">
        <f aca="false">IF(F28="","",IF(F28&lt;=0,"None",IF(F28=1,"Minor",IF(F28=2,"Moderate","Major"))))</f>
        <v/>
      </c>
      <c r="H28" s="15"/>
      <c r="I28" s="15"/>
    </row>
    <row r="29" customFormat="false" ht="31.5" hidden="false" customHeight="true" outlineLevel="0" collapsed="false">
      <c r="A29" s="15" t="s">
        <v>128</v>
      </c>
      <c r="B29" s="15" t="s">
        <v>137</v>
      </c>
      <c r="C29" s="15" t="s">
        <v>138</v>
      </c>
      <c r="D29" s="15" t="n">
        <f aca="false">INDEX('Template 2 - Current State'!$D$6:$D$77,MATCH($B29,'Template 2 - Current State'!$B$6:$B$77,0))</f>
        <v>0</v>
      </c>
      <c r="E29" s="15" t="n">
        <f aca="false">INDEX('Template 3 - Target State'!$E$6:$E$77,MATCH($B29,'Template 3 - Target State'!$B$6:$B$77,0))</f>
        <v>0</v>
      </c>
      <c r="F29" s="15" t="str">
        <f aca="false">IF(OR(D29="",E29=""),"",E29-D29)</f>
        <v/>
      </c>
      <c r="G29" s="15" t="str">
        <f aca="false">IF(F29="","",IF(F29&lt;=0,"None",IF(F29=1,"Minor",IF(F29=2,"Moderate","Major"))))</f>
        <v/>
      </c>
      <c r="H29" s="15"/>
      <c r="I29" s="15"/>
    </row>
    <row r="30" customFormat="false" ht="31.5" hidden="false" customHeight="true" outlineLevel="0" collapsed="false">
      <c r="A30" s="15" t="s">
        <v>128</v>
      </c>
      <c r="B30" s="15" t="s">
        <v>139</v>
      </c>
      <c r="C30" s="15" t="s">
        <v>140</v>
      </c>
      <c r="D30" s="15" t="n">
        <f aca="false">INDEX('Template 2 - Current State'!$D$6:$D$77,MATCH($B30,'Template 2 - Current State'!$B$6:$B$77,0))</f>
        <v>0</v>
      </c>
      <c r="E30" s="15" t="n">
        <f aca="false">INDEX('Template 3 - Target State'!$E$6:$E$77,MATCH($B30,'Template 3 - Target State'!$B$6:$B$77,0))</f>
        <v>0</v>
      </c>
      <c r="F30" s="15" t="str">
        <f aca="false">IF(OR(D30="",E30=""),"",E30-D30)</f>
        <v/>
      </c>
      <c r="G30" s="15" t="str">
        <f aca="false">IF(F30="","",IF(F30&lt;=0,"None",IF(F30=1,"Minor",IF(F30=2,"Moderate","Major"))))</f>
        <v/>
      </c>
      <c r="H30" s="15"/>
      <c r="I30" s="15"/>
    </row>
    <row r="31" customFormat="false" ht="31.5" hidden="false" customHeight="true" outlineLevel="0" collapsed="false">
      <c r="A31" s="15" t="s">
        <v>128</v>
      </c>
      <c r="B31" s="15" t="s">
        <v>141</v>
      </c>
      <c r="C31" s="15" t="s">
        <v>142</v>
      </c>
      <c r="D31" s="15" t="n">
        <f aca="false">INDEX('Template 2 - Current State'!$D$6:$D$77,MATCH($B31,'Template 2 - Current State'!$B$6:$B$77,0))</f>
        <v>0</v>
      </c>
      <c r="E31" s="15" t="n">
        <f aca="false">INDEX('Template 3 - Target State'!$E$6:$E$77,MATCH($B31,'Template 3 - Target State'!$B$6:$B$77,0))</f>
        <v>0</v>
      </c>
      <c r="F31" s="15" t="str">
        <f aca="false">IF(OR(D31="",E31=""),"",E31-D31)</f>
        <v/>
      </c>
      <c r="G31" s="15" t="str">
        <f aca="false">IF(F31="","",IF(F31&lt;=0,"None",IF(F31=1,"Minor",IF(F31=2,"Moderate","Major"))))</f>
        <v/>
      </c>
      <c r="H31" s="15"/>
      <c r="I31" s="15"/>
    </row>
    <row r="32" customFormat="false" ht="31.5" hidden="false" customHeight="true" outlineLevel="0" collapsed="false">
      <c r="A32" s="15" t="s">
        <v>128</v>
      </c>
      <c r="B32" s="15" t="s">
        <v>143</v>
      </c>
      <c r="C32" s="15" t="s">
        <v>144</v>
      </c>
      <c r="D32" s="15" t="n">
        <f aca="false">INDEX('Template 2 - Current State'!$D$6:$D$77,MATCH($B32,'Template 2 - Current State'!$B$6:$B$77,0))</f>
        <v>0</v>
      </c>
      <c r="E32" s="15" t="n">
        <f aca="false">INDEX('Template 3 - Target State'!$E$6:$E$77,MATCH($B32,'Template 3 - Target State'!$B$6:$B$77,0))</f>
        <v>0</v>
      </c>
      <c r="F32" s="15" t="str">
        <f aca="false">IF(OR(D32="",E32=""),"",E32-D32)</f>
        <v/>
      </c>
      <c r="G32" s="15" t="str">
        <f aca="false">IF(F32="","",IF(F32&lt;=0,"None",IF(F32=1,"Minor",IF(F32=2,"Moderate","Major"))))</f>
        <v/>
      </c>
      <c r="H32" s="15"/>
      <c r="I32" s="15"/>
    </row>
    <row r="33" customFormat="false" ht="31.5" hidden="false" customHeight="true" outlineLevel="0" collapsed="false">
      <c r="A33" s="15" t="s">
        <v>128</v>
      </c>
      <c r="B33" s="15" t="s">
        <v>145</v>
      </c>
      <c r="C33" s="15" t="s">
        <v>146</v>
      </c>
      <c r="D33" s="15" t="n">
        <f aca="false">INDEX('Template 2 - Current State'!$D$6:$D$77,MATCH($B33,'Template 2 - Current State'!$B$6:$B$77,0))</f>
        <v>0</v>
      </c>
      <c r="E33" s="15" t="n">
        <f aca="false">INDEX('Template 3 - Target State'!$E$6:$E$77,MATCH($B33,'Template 3 - Target State'!$B$6:$B$77,0))</f>
        <v>0</v>
      </c>
      <c r="F33" s="15" t="str">
        <f aca="false">IF(OR(D33="",E33=""),"",E33-D33)</f>
        <v/>
      </c>
      <c r="G33" s="15" t="str">
        <f aca="false">IF(F33="","",IF(F33&lt;=0,"None",IF(F33=1,"Minor",IF(F33=2,"Moderate","Major"))))</f>
        <v/>
      </c>
      <c r="H33" s="15"/>
      <c r="I33" s="15"/>
    </row>
    <row r="34" customFormat="false" ht="31.5" hidden="false" customHeight="true" outlineLevel="0" collapsed="false">
      <c r="A34" s="15" t="s">
        <v>128</v>
      </c>
      <c r="B34" s="15" t="s">
        <v>147</v>
      </c>
      <c r="C34" s="15" t="s">
        <v>148</v>
      </c>
      <c r="D34" s="15" t="n">
        <f aca="false">INDEX('Template 2 - Current State'!$D$6:$D$77,MATCH($B34,'Template 2 - Current State'!$B$6:$B$77,0))</f>
        <v>0</v>
      </c>
      <c r="E34" s="15" t="n">
        <f aca="false">INDEX('Template 3 - Target State'!$E$6:$E$77,MATCH($B34,'Template 3 - Target State'!$B$6:$B$77,0))</f>
        <v>0</v>
      </c>
      <c r="F34" s="15" t="str">
        <f aca="false">IF(OR(D34="",E34=""),"",E34-D34)</f>
        <v/>
      </c>
      <c r="G34" s="15" t="str">
        <f aca="false">IF(F34="","",IF(F34&lt;=0,"None",IF(F34=1,"Minor",IF(F34=2,"Moderate","Major"))))</f>
        <v/>
      </c>
      <c r="H34" s="15"/>
      <c r="I34" s="15"/>
    </row>
    <row r="35" customFormat="false" ht="31.5" hidden="false" customHeight="true" outlineLevel="0" collapsed="false">
      <c r="A35" s="15" t="s">
        <v>128</v>
      </c>
      <c r="B35" s="15" t="s">
        <v>149</v>
      </c>
      <c r="C35" s="15" t="s">
        <v>150</v>
      </c>
      <c r="D35" s="15" t="n">
        <f aca="false">INDEX('Template 2 - Current State'!$D$6:$D$77,MATCH($B35,'Template 2 - Current State'!$B$6:$B$77,0))</f>
        <v>0</v>
      </c>
      <c r="E35" s="15" t="n">
        <f aca="false">INDEX('Template 3 - Target State'!$E$6:$E$77,MATCH($B35,'Template 3 - Target State'!$B$6:$B$77,0))</f>
        <v>0</v>
      </c>
      <c r="F35" s="15" t="str">
        <f aca="false">IF(OR(D35="",E35=""),"",E35-D35)</f>
        <v/>
      </c>
      <c r="G35" s="15" t="str">
        <f aca="false">IF(F35="","",IF(F35&lt;=0,"None",IF(F35=1,"Minor",IF(F35=2,"Moderate","Major"))))</f>
        <v/>
      </c>
      <c r="H35" s="15"/>
      <c r="I35" s="15"/>
    </row>
    <row r="36" customFormat="false" ht="31.5" hidden="false" customHeight="true" outlineLevel="0" collapsed="false">
      <c r="A36" s="15" t="s">
        <v>128</v>
      </c>
      <c r="B36" s="15" t="s">
        <v>151</v>
      </c>
      <c r="C36" s="15" t="s">
        <v>152</v>
      </c>
      <c r="D36" s="15" t="n">
        <f aca="false">INDEX('Template 2 - Current State'!$D$6:$D$77,MATCH($B36,'Template 2 - Current State'!$B$6:$B$77,0))</f>
        <v>0</v>
      </c>
      <c r="E36" s="15" t="n">
        <f aca="false">INDEX('Template 3 - Target State'!$E$6:$E$77,MATCH($B36,'Template 3 - Target State'!$B$6:$B$77,0))</f>
        <v>0</v>
      </c>
      <c r="F36" s="15" t="str">
        <f aca="false">IF(OR(D36="",E36=""),"",E36-D36)</f>
        <v/>
      </c>
      <c r="G36" s="15" t="str">
        <f aca="false">IF(F36="","",IF(F36&lt;=0,"None",IF(F36=1,"Minor",IF(F36=2,"Moderate","Major"))))</f>
        <v/>
      </c>
      <c r="H36" s="15"/>
      <c r="I36" s="15"/>
    </row>
    <row r="37" customFormat="false" ht="31.5" hidden="false" customHeight="true" outlineLevel="0" collapsed="false">
      <c r="A37" s="15" t="s">
        <v>128</v>
      </c>
      <c r="B37" s="15" t="s">
        <v>153</v>
      </c>
      <c r="C37" s="15" t="s">
        <v>154</v>
      </c>
      <c r="D37" s="15" t="n">
        <f aca="false">INDEX('Template 2 - Current State'!$D$6:$D$77,MATCH($B37,'Template 2 - Current State'!$B$6:$B$77,0))</f>
        <v>0</v>
      </c>
      <c r="E37" s="15" t="n">
        <f aca="false">INDEX('Template 3 - Target State'!$E$6:$E$77,MATCH($B37,'Template 3 - Target State'!$B$6:$B$77,0))</f>
        <v>0</v>
      </c>
      <c r="F37" s="15" t="str">
        <f aca="false">IF(OR(D37="",E37=""),"",E37-D37)</f>
        <v/>
      </c>
      <c r="G37" s="15" t="str">
        <f aca="false">IF(F37="","",IF(F37&lt;=0,"None",IF(F37=1,"Minor",IF(F37=2,"Moderate","Major"))))</f>
        <v/>
      </c>
      <c r="H37" s="15"/>
      <c r="I37" s="15"/>
    </row>
    <row r="38" customFormat="false" ht="31.5" hidden="false" customHeight="true" outlineLevel="0" collapsed="false">
      <c r="A38" s="15" t="s">
        <v>128</v>
      </c>
      <c r="B38" s="15" t="s">
        <v>155</v>
      </c>
      <c r="C38" s="15" t="s">
        <v>156</v>
      </c>
      <c r="D38" s="15" t="n">
        <f aca="false">INDEX('Template 2 - Current State'!$D$6:$D$77,MATCH($B38,'Template 2 - Current State'!$B$6:$B$77,0))</f>
        <v>0</v>
      </c>
      <c r="E38" s="15" t="n">
        <f aca="false">INDEX('Template 3 - Target State'!$E$6:$E$77,MATCH($B38,'Template 3 - Target State'!$B$6:$B$77,0))</f>
        <v>0</v>
      </c>
      <c r="F38" s="15" t="str">
        <f aca="false">IF(OR(D38="",E38=""),"",E38-D38)</f>
        <v/>
      </c>
      <c r="G38" s="15" t="str">
        <f aca="false">IF(F38="","",IF(F38&lt;=0,"None",IF(F38=1,"Minor",IF(F38=2,"Moderate","Major"))))</f>
        <v/>
      </c>
      <c r="H38" s="15"/>
      <c r="I38" s="15"/>
    </row>
    <row r="39" customFormat="false" ht="31.5" hidden="false" customHeight="true" outlineLevel="0" collapsed="false">
      <c r="A39" s="15" t="s">
        <v>128</v>
      </c>
      <c r="B39" s="15" t="s">
        <v>157</v>
      </c>
      <c r="C39" s="15" t="s">
        <v>158</v>
      </c>
      <c r="D39" s="15" t="n">
        <f aca="false">INDEX('Template 2 - Current State'!$D$6:$D$77,MATCH($B39,'Template 2 - Current State'!$B$6:$B$77,0))</f>
        <v>0</v>
      </c>
      <c r="E39" s="15" t="n">
        <f aca="false">INDEX('Template 3 - Target State'!$E$6:$E$77,MATCH($B39,'Template 3 - Target State'!$B$6:$B$77,0))</f>
        <v>0</v>
      </c>
      <c r="F39" s="15" t="str">
        <f aca="false">IF(OR(D39="",E39=""),"",E39-D39)</f>
        <v/>
      </c>
      <c r="G39" s="15" t="str">
        <f aca="false">IF(F39="","",IF(F39&lt;=0,"None",IF(F39=1,"Minor",IF(F39=2,"Moderate","Major"))))</f>
        <v/>
      </c>
      <c r="H39" s="15"/>
      <c r="I39" s="15"/>
    </row>
    <row r="40" customFormat="false" ht="31.5" hidden="false" customHeight="true" outlineLevel="0" collapsed="false">
      <c r="A40" s="15" t="s">
        <v>128</v>
      </c>
      <c r="B40" s="15" t="s">
        <v>159</v>
      </c>
      <c r="C40" s="15" t="s">
        <v>160</v>
      </c>
      <c r="D40" s="15" t="n">
        <f aca="false">INDEX('Template 2 - Current State'!$D$6:$D$77,MATCH($B40,'Template 2 - Current State'!$B$6:$B$77,0))</f>
        <v>0</v>
      </c>
      <c r="E40" s="15" t="n">
        <f aca="false">INDEX('Template 3 - Target State'!$E$6:$E$77,MATCH($B40,'Template 3 - Target State'!$B$6:$B$77,0))</f>
        <v>0</v>
      </c>
      <c r="F40" s="15" t="str">
        <f aca="false">IF(OR(D40="",E40=""),"",E40-D40)</f>
        <v/>
      </c>
      <c r="G40" s="15" t="str">
        <f aca="false">IF(F40="","",IF(F40&lt;=0,"None",IF(F40=1,"Minor",IF(F40=2,"Moderate","Major"))))</f>
        <v/>
      </c>
      <c r="H40" s="15"/>
      <c r="I40" s="15"/>
    </row>
    <row r="41" customFormat="false" ht="31.5" hidden="false" customHeight="true" outlineLevel="0" collapsed="false">
      <c r="A41" s="15" t="s">
        <v>128</v>
      </c>
      <c r="B41" s="15" t="s">
        <v>161</v>
      </c>
      <c r="C41" s="15" t="s">
        <v>162</v>
      </c>
      <c r="D41" s="15" t="n">
        <f aca="false">INDEX('Template 2 - Current State'!$D$6:$D$77,MATCH($B41,'Template 2 - Current State'!$B$6:$B$77,0))</f>
        <v>0</v>
      </c>
      <c r="E41" s="15" t="n">
        <f aca="false">INDEX('Template 3 - Target State'!$E$6:$E$77,MATCH($B41,'Template 3 - Target State'!$B$6:$B$77,0))</f>
        <v>0</v>
      </c>
      <c r="F41" s="15" t="str">
        <f aca="false">IF(OR(D41="",E41=""),"",E41-D41)</f>
        <v/>
      </c>
      <c r="G41" s="15" t="str">
        <f aca="false">IF(F41="","",IF(F41&lt;=0,"None",IF(F41=1,"Minor",IF(F41=2,"Moderate","Major"))))</f>
        <v/>
      </c>
      <c r="H41" s="15"/>
      <c r="I41" s="15"/>
    </row>
    <row r="42" customFormat="false" ht="31.5" hidden="false" customHeight="true" outlineLevel="0" collapsed="false">
      <c r="A42" s="15" t="s">
        <v>128</v>
      </c>
      <c r="B42" s="15" t="s">
        <v>163</v>
      </c>
      <c r="C42" s="15" t="s">
        <v>164</v>
      </c>
      <c r="D42" s="15" t="n">
        <f aca="false">INDEX('Template 2 - Current State'!$D$6:$D$77,MATCH($B42,'Template 2 - Current State'!$B$6:$B$77,0))</f>
        <v>0</v>
      </c>
      <c r="E42" s="15" t="n">
        <f aca="false">INDEX('Template 3 - Target State'!$E$6:$E$77,MATCH($B42,'Template 3 - Target State'!$B$6:$B$77,0))</f>
        <v>0</v>
      </c>
      <c r="F42" s="15" t="str">
        <f aca="false">IF(OR(D42="",E42=""),"",E42-D42)</f>
        <v/>
      </c>
      <c r="G42" s="15" t="str">
        <f aca="false">IF(F42="","",IF(F42&lt;=0,"None",IF(F42=1,"Minor",IF(F42=2,"Moderate","Major"))))</f>
        <v/>
      </c>
      <c r="H42" s="15"/>
      <c r="I42" s="15"/>
    </row>
    <row r="43" customFormat="false" ht="31.5" hidden="false" customHeight="true" outlineLevel="0" collapsed="false">
      <c r="A43" s="15" t="s">
        <v>165</v>
      </c>
      <c r="B43" s="15" t="s">
        <v>166</v>
      </c>
      <c r="C43" s="15" t="s">
        <v>167</v>
      </c>
      <c r="D43" s="15" t="n">
        <f aca="false">INDEX('Template 2 - Current State'!$D$6:$D$77,MATCH($B43,'Template 2 - Current State'!$B$6:$B$77,0))</f>
        <v>0</v>
      </c>
      <c r="E43" s="15" t="n">
        <f aca="false">INDEX('Template 3 - Target State'!$E$6:$E$77,MATCH($B43,'Template 3 - Target State'!$B$6:$B$77,0))</f>
        <v>0</v>
      </c>
      <c r="F43" s="15" t="str">
        <f aca="false">IF(OR(D43="",E43=""),"",E43-D43)</f>
        <v/>
      </c>
      <c r="G43" s="15" t="str">
        <f aca="false">IF(F43="","",IF(F43&lt;=0,"None",IF(F43=1,"Minor",IF(F43=2,"Moderate","Major"))))</f>
        <v/>
      </c>
      <c r="H43" s="15"/>
      <c r="I43" s="15"/>
    </row>
    <row r="44" customFormat="false" ht="31.5" hidden="false" customHeight="true" outlineLevel="0" collapsed="false">
      <c r="A44" s="15" t="s">
        <v>165</v>
      </c>
      <c r="B44" s="15" t="s">
        <v>168</v>
      </c>
      <c r="C44" s="15" t="s">
        <v>169</v>
      </c>
      <c r="D44" s="15" t="n">
        <f aca="false">INDEX('Template 2 - Current State'!$D$6:$D$77,MATCH($B44,'Template 2 - Current State'!$B$6:$B$77,0))</f>
        <v>0</v>
      </c>
      <c r="E44" s="15" t="n">
        <f aca="false">INDEX('Template 3 - Target State'!$E$6:$E$77,MATCH($B44,'Template 3 - Target State'!$B$6:$B$77,0))</f>
        <v>0</v>
      </c>
      <c r="F44" s="15" t="str">
        <f aca="false">IF(OR(D44="",E44=""),"",E44-D44)</f>
        <v/>
      </c>
      <c r="G44" s="15" t="str">
        <f aca="false">IF(F44="","",IF(F44&lt;=0,"None",IF(F44=1,"Minor",IF(F44=2,"Moderate","Major"))))</f>
        <v/>
      </c>
      <c r="H44" s="15"/>
      <c r="I44" s="15"/>
    </row>
    <row r="45" customFormat="false" ht="31.5" hidden="false" customHeight="true" outlineLevel="0" collapsed="false">
      <c r="A45" s="15" t="s">
        <v>165</v>
      </c>
      <c r="B45" s="15" t="s">
        <v>170</v>
      </c>
      <c r="C45" s="15" t="s">
        <v>171</v>
      </c>
      <c r="D45" s="15" t="n">
        <f aca="false">INDEX('Template 2 - Current State'!$D$6:$D$77,MATCH($B45,'Template 2 - Current State'!$B$6:$B$77,0))</f>
        <v>0</v>
      </c>
      <c r="E45" s="15" t="n">
        <f aca="false">INDEX('Template 3 - Target State'!$E$6:$E$77,MATCH($B45,'Template 3 - Target State'!$B$6:$B$77,0))</f>
        <v>0</v>
      </c>
      <c r="F45" s="15" t="str">
        <f aca="false">IF(OR(D45="",E45=""),"",E45-D45)</f>
        <v/>
      </c>
      <c r="G45" s="15" t="str">
        <f aca="false">IF(F45="","",IF(F45&lt;=0,"None",IF(F45=1,"Minor",IF(F45=2,"Moderate","Major"))))</f>
        <v/>
      </c>
      <c r="H45" s="15"/>
      <c r="I45" s="15"/>
    </row>
    <row r="46" customFormat="false" ht="31.5" hidden="false" customHeight="true" outlineLevel="0" collapsed="false">
      <c r="A46" s="15" t="s">
        <v>165</v>
      </c>
      <c r="B46" s="15" t="s">
        <v>172</v>
      </c>
      <c r="C46" s="15" t="s">
        <v>173</v>
      </c>
      <c r="D46" s="15" t="n">
        <f aca="false">INDEX('Template 2 - Current State'!$D$6:$D$77,MATCH($B46,'Template 2 - Current State'!$B$6:$B$77,0))</f>
        <v>0</v>
      </c>
      <c r="E46" s="15" t="n">
        <f aca="false">INDEX('Template 3 - Target State'!$E$6:$E$77,MATCH($B46,'Template 3 - Target State'!$B$6:$B$77,0))</f>
        <v>0</v>
      </c>
      <c r="F46" s="15" t="str">
        <f aca="false">IF(OR(D46="",E46=""),"",E46-D46)</f>
        <v/>
      </c>
      <c r="G46" s="15" t="str">
        <f aca="false">IF(F46="","",IF(F46&lt;=0,"None",IF(F46=1,"Minor",IF(F46=2,"Moderate","Major"))))</f>
        <v/>
      </c>
      <c r="H46" s="15"/>
      <c r="I46" s="15"/>
    </row>
    <row r="47" customFormat="false" ht="31.5" hidden="false" customHeight="true" outlineLevel="0" collapsed="false">
      <c r="A47" s="15" t="s">
        <v>165</v>
      </c>
      <c r="B47" s="15" t="s">
        <v>174</v>
      </c>
      <c r="C47" s="15" t="s">
        <v>175</v>
      </c>
      <c r="D47" s="15" t="n">
        <f aca="false">INDEX('Template 2 - Current State'!$D$6:$D$77,MATCH($B47,'Template 2 - Current State'!$B$6:$B$77,0))</f>
        <v>0</v>
      </c>
      <c r="E47" s="15" t="n">
        <f aca="false">INDEX('Template 3 - Target State'!$E$6:$E$77,MATCH($B47,'Template 3 - Target State'!$B$6:$B$77,0))</f>
        <v>0</v>
      </c>
      <c r="F47" s="15" t="str">
        <f aca="false">IF(OR(D47="",E47=""),"",E47-D47)</f>
        <v/>
      </c>
      <c r="G47" s="15" t="str">
        <f aca="false">IF(F47="","",IF(F47&lt;=0,"None",IF(F47=1,"Minor",IF(F47=2,"Moderate","Major"))))</f>
        <v/>
      </c>
      <c r="H47" s="15"/>
      <c r="I47" s="15"/>
    </row>
    <row r="48" customFormat="false" ht="31.5" hidden="false" customHeight="true" outlineLevel="0" collapsed="false">
      <c r="A48" s="15" t="s">
        <v>165</v>
      </c>
      <c r="B48" s="15" t="s">
        <v>176</v>
      </c>
      <c r="C48" s="15" t="s">
        <v>177</v>
      </c>
      <c r="D48" s="15" t="n">
        <f aca="false">INDEX('Template 2 - Current State'!$D$6:$D$77,MATCH($B48,'Template 2 - Current State'!$B$6:$B$77,0))</f>
        <v>0</v>
      </c>
      <c r="E48" s="15" t="n">
        <f aca="false">INDEX('Template 3 - Target State'!$E$6:$E$77,MATCH($B48,'Template 3 - Target State'!$B$6:$B$77,0))</f>
        <v>0</v>
      </c>
      <c r="F48" s="15" t="str">
        <f aca="false">IF(OR(D48="",E48=""),"",E48-D48)</f>
        <v/>
      </c>
      <c r="G48" s="15" t="str">
        <f aca="false">IF(F48="","",IF(F48&lt;=0,"None",IF(F48=1,"Minor",IF(F48=2,"Moderate","Major"))))</f>
        <v/>
      </c>
      <c r="H48" s="15"/>
      <c r="I48" s="15"/>
    </row>
    <row r="49" customFormat="false" ht="31.5" hidden="false" customHeight="true" outlineLevel="0" collapsed="false">
      <c r="A49" s="15" t="s">
        <v>165</v>
      </c>
      <c r="B49" s="15" t="s">
        <v>178</v>
      </c>
      <c r="C49" s="15" t="s">
        <v>179</v>
      </c>
      <c r="D49" s="15" t="n">
        <f aca="false">INDEX('Template 2 - Current State'!$D$6:$D$77,MATCH($B49,'Template 2 - Current State'!$B$6:$B$77,0))</f>
        <v>0</v>
      </c>
      <c r="E49" s="15" t="n">
        <f aca="false">INDEX('Template 3 - Target State'!$E$6:$E$77,MATCH($B49,'Template 3 - Target State'!$B$6:$B$77,0))</f>
        <v>0</v>
      </c>
      <c r="F49" s="15" t="str">
        <f aca="false">IF(OR(D49="",E49=""),"",E49-D49)</f>
        <v/>
      </c>
      <c r="G49" s="15" t="str">
        <f aca="false">IF(F49="","",IF(F49&lt;=0,"None",IF(F49=1,"Minor",IF(F49=2,"Moderate","Major"))))</f>
        <v/>
      </c>
      <c r="H49" s="15"/>
      <c r="I49" s="15"/>
    </row>
    <row r="50" customFormat="false" ht="31.5" hidden="false" customHeight="true" outlineLevel="0" collapsed="false">
      <c r="A50" s="15" t="s">
        <v>165</v>
      </c>
      <c r="B50" s="15" t="s">
        <v>180</v>
      </c>
      <c r="C50" s="15" t="s">
        <v>181</v>
      </c>
      <c r="D50" s="15" t="n">
        <f aca="false">INDEX('Template 2 - Current State'!$D$6:$D$77,MATCH($B50,'Template 2 - Current State'!$B$6:$B$77,0))</f>
        <v>0</v>
      </c>
      <c r="E50" s="15" t="n">
        <f aca="false">INDEX('Template 3 - Target State'!$E$6:$E$77,MATCH($B50,'Template 3 - Target State'!$B$6:$B$77,0))</f>
        <v>0</v>
      </c>
      <c r="F50" s="15" t="str">
        <f aca="false">IF(OR(D50="",E50=""),"",E50-D50)</f>
        <v/>
      </c>
      <c r="G50" s="15" t="str">
        <f aca="false">IF(F50="","",IF(F50&lt;=0,"None",IF(F50=1,"Minor",IF(F50=2,"Moderate","Major"))))</f>
        <v/>
      </c>
      <c r="H50" s="15"/>
      <c r="I50" s="15"/>
    </row>
    <row r="51" customFormat="false" ht="31.5" hidden="false" customHeight="true" outlineLevel="0" collapsed="false">
      <c r="A51" s="15" t="s">
        <v>165</v>
      </c>
      <c r="B51" s="15" t="s">
        <v>182</v>
      </c>
      <c r="C51" s="15" t="s">
        <v>183</v>
      </c>
      <c r="D51" s="15" t="n">
        <f aca="false">INDEX('Template 2 - Current State'!$D$6:$D$77,MATCH($B51,'Template 2 - Current State'!$B$6:$B$77,0))</f>
        <v>0</v>
      </c>
      <c r="E51" s="15" t="n">
        <f aca="false">INDEX('Template 3 - Target State'!$E$6:$E$77,MATCH($B51,'Template 3 - Target State'!$B$6:$B$77,0))</f>
        <v>0</v>
      </c>
      <c r="F51" s="15" t="str">
        <f aca="false">IF(OR(D51="",E51=""),"",E51-D51)</f>
        <v/>
      </c>
      <c r="G51" s="15" t="str">
        <f aca="false">IF(F51="","",IF(F51&lt;=0,"None",IF(F51=1,"Minor",IF(F51=2,"Moderate","Major"))))</f>
        <v/>
      </c>
      <c r="H51" s="15"/>
      <c r="I51" s="15"/>
    </row>
    <row r="52" customFormat="false" ht="31.5" hidden="false" customHeight="true" outlineLevel="0" collapsed="false">
      <c r="A52" s="15" t="s">
        <v>165</v>
      </c>
      <c r="B52" s="15" t="s">
        <v>184</v>
      </c>
      <c r="C52" s="15" t="s">
        <v>185</v>
      </c>
      <c r="D52" s="15" t="n">
        <f aca="false">INDEX('Template 2 - Current State'!$D$6:$D$77,MATCH($B52,'Template 2 - Current State'!$B$6:$B$77,0))</f>
        <v>0</v>
      </c>
      <c r="E52" s="15" t="n">
        <f aca="false">INDEX('Template 3 - Target State'!$E$6:$E$77,MATCH($B52,'Template 3 - Target State'!$B$6:$B$77,0))</f>
        <v>0</v>
      </c>
      <c r="F52" s="15" t="str">
        <f aca="false">IF(OR(D52="",E52=""),"",E52-D52)</f>
        <v/>
      </c>
      <c r="G52" s="15" t="str">
        <f aca="false">IF(F52="","",IF(F52&lt;=0,"None",IF(F52=1,"Minor",IF(F52=2,"Moderate","Major"))))</f>
        <v/>
      </c>
      <c r="H52" s="15"/>
      <c r="I52" s="15"/>
    </row>
    <row r="53" customFormat="false" ht="31.5" hidden="false" customHeight="true" outlineLevel="0" collapsed="false">
      <c r="A53" s="15" t="s">
        <v>165</v>
      </c>
      <c r="B53" s="15" t="s">
        <v>186</v>
      </c>
      <c r="C53" s="15" t="s">
        <v>187</v>
      </c>
      <c r="D53" s="15" t="n">
        <f aca="false">INDEX('Template 2 - Current State'!$D$6:$D$77,MATCH($B53,'Template 2 - Current State'!$B$6:$B$77,0))</f>
        <v>0</v>
      </c>
      <c r="E53" s="15" t="n">
        <f aca="false">INDEX('Template 3 - Target State'!$E$6:$E$77,MATCH($B53,'Template 3 - Target State'!$B$6:$B$77,0))</f>
        <v>0</v>
      </c>
      <c r="F53" s="15" t="str">
        <f aca="false">IF(OR(D53="",E53=""),"",E53-D53)</f>
        <v/>
      </c>
      <c r="G53" s="15" t="str">
        <f aca="false">IF(F53="","",IF(F53&lt;=0,"None",IF(F53=1,"Minor",IF(F53=2,"Moderate","Major"))))</f>
        <v/>
      </c>
      <c r="H53" s="15"/>
      <c r="I53" s="15"/>
    </row>
    <row r="54" customFormat="false" ht="31.5" hidden="false" customHeight="true" outlineLevel="0" collapsed="false">
      <c r="A54" s="15" t="s">
        <v>165</v>
      </c>
      <c r="B54" s="15" t="s">
        <v>188</v>
      </c>
      <c r="C54" s="15" t="s">
        <v>189</v>
      </c>
      <c r="D54" s="15" t="n">
        <f aca="false">INDEX('Template 2 - Current State'!$D$6:$D$77,MATCH($B54,'Template 2 - Current State'!$B$6:$B$77,0))</f>
        <v>0</v>
      </c>
      <c r="E54" s="15" t="n">
        <f aca="false">INDEX('Template 3 - Target State'!$E$6:$E$77,MATCH($B54,'Template 3 - Target State'!$B$6:$B$77,0))</f>
        <v>0</v>
      </c>
      <c r="F54" s="15" t="str">
        <f aca="false">IF(OR(D54="",E54=""),"",E54-D54)</f>
        <v/>
      </c>
      <c r="G54" s="15" t="str">
        <f aca="false">IF(F54="","",IF(F54&lt;=0,"None",IF(F54=1,"Minor",IF(F54=2,"Moderate","Major"))))</f>
        <v/>
      </c>
      <c r="H54" s="15"/>
      <c r="I54" s="15"/>
    </row>
    <row r="55" customFormat="false" ht="31.5" hidden="false" customHeight="true" outlineLevel="0" collapsed="false">
      <c r="A55" s="15" t="s">
        <v>165</v>
      </c>
      <c r="B55" s="15" t="s">
        <v>190</v>
      </c>
      <c r="C55" s="15" t="s">
        <v>191</v>
      </c>
      <c r="D55" s="15" t="n">
        <f aca="false">INDEX('Template 2 - Current State'!$D$6:$D$77,MATCH($B55,'Template 2 - Current State'!$B$6:$B$77,0))</f>
        <v>0</v>
      </c>
      <c r="E55" s="15" t="n">
        <f aca="false">INDEX('Template 3 - Target State'!$E$6:$E$77,MATCH($B55,'Template 3 - Target State'!$B$6:$B$77,0))</f>
        <v>0</v>
      </c>
      <c r="F55" s="15" t="str">
        <f aca="false">IF(OR(D55="",E55=""),"",E55-D55)</f>
        <v/>
      </c>
      <c r="G55" s="15" t="str">
        <f aca="false">IF(F55="","",IF(F55&lt;=0,"None",IF(F55=1,"Minor",IF(F55=2,"Moderate","Major"))))</f>
        <v/>
      </c>
      <c r="H55" s="15"/>
      <c r="I55" s="15"/>
    </row>
    <row r="56" customFormat="false" ht="31.5" hidden="false" customHeight="true" outlineLevel="0" collapsed="false">
      <c r="A56" s="15" t="s">
        <v>165</v>
      </c>
      <c r="B56" s="15" t="s">
        <v>192</v>
      </c>
      <c r="C56" s="15" t="s">
        <v>193</v>
      </c>
      <c r="D56" s="15" t="n">
        <f aca="false">INDEX('Template 2 - Current State'!$D$6:$D$77,MATCH($B56,'Template 2 - Current State'!$B$6:$B$77,0))</f>
        <v>0</v>
      </c>
      <c r="E56" s="15" t="n">
        <f aca="false">INDEX('Template 3 - Target State'!$E$6:$E$77,MATCH($B56,'Template 3 - Target State'!$B$6:$B$77,0))</f>
        <v>0</v>
      </c>
      <c r="F56" s="15" t="str">
        <f aca="false">IF(OR(D56="",E56=""),"",E56-D56)</f>
        <v/>
      </c>
      <c r="G56" s="15" t="str">
        <f aca="false">IF(F56="","",IF(F56&lt;=0,"None",IF(F56=1,"Minor",IF(F56=2,"Moderate","Major"))))</f>
        <v/>
      </c>
      <c r="H56" s="15"/>
      <c r="I56" s="15"/>
    </row>
    <row r="57" customFormat="false" ht="31.5" hidden="false" customHeight="true" outlineLevel="0" collapsed="false">
      <c r="A57" s="15" t="s">
        <v>165</v>
      </c>
      <c r="B57" s="15" t="s">
        <v>194</v>
      </c>
      <c r="C57" s="15" t="s">
        <v>195</v>
      </c>
      <c r="D57" s="15" t="n">
        <f aca="false">INDEX('Template 2 - Current State'!$D$6:$D$77,MATCH($B57,'Template 2 - Current State'!$B$6:$B$77,0))</f>
        <v>0</v>
      </c>
      <c r="E57" s="15" t="n">
        <f aca="false">INDEX('Template 3 - Target State'!$E$6:$E$77,MATCH($B57,'Template 3 - Target State'!$B$6:$B$77,0))</f>
        <v>0</v>
      </c>
      <c r="F57" s="15" t="str">
        <f aca="false">IF(OR(D57="",E57=""),"",E57-D57)</f>
        <v/>
      </c>
      <c r="G57" s="15" t="str">
        <f aca="false">IF(F57="","",IF(F57&lt;=0,"None",IF(F57=1,"Minor",IF(F57=2,"Moderate","Major"))))</f>
        <v/>
      </c>
      <c r="H57" s="15"/>
      <c r="I57" s="15"/>
    </row>
    <row r="58" customFormat="false" ht="31.5" hidden="false" customHeight="true" outlineLevel="0" collapsed="false">
      <c r="A58" s="15" t="s">
        <v>165</v>
      </c>
      <c r="B58" s="15" t="s">
        <v>196</v>
      </c>
      <c r="C58" s="15" t="s">
        <v>197</v>
      </c>
      <c r="D58" s="15" t="n">
        <f aca="false">INDEX('Template 2 - Current State'!$D$6:$D$77,MATCH($B58,'Template 2 - Current State'!$B$6:$B$77,0))</f>
        <v>0</v>
      </c>
      <c r="E58" s="15" t="n">
        <f aca="false">INDEX('Template 3 - Target State'!$E$6:$E$77,MATCH($B58,'Template 3 - Target State'!$B$6:$B$77,0))</f>
        <v>0</v>
      </c>
      <c r="F58" s="15" t="str">
        <f aca="false">IF(OR(D58="",E58=""),"",E58-D58)</f>
        <v/>
      </c>
      <c r="G58" s="15" t="str">
        <f aca="false">IF(F58="","",IF(F58&lt;=0,"None",IF(F58=1,"Minor",IF(F58=2,"Moderate","Major"))))</f>
        <v/>
      </c>
      <c r="H58" s="15"/>
      <c r="I58" s="15"/>
    </row>
    <row r="59" customFormat="false" ht="31.5" hidden="false" customHeight="true" outlineLevel="0" collapsed="false">
      <c r="A59" s="15" t="s">
        <v>165</v>
      </c>
      <c r="B59" s="15" t="s">
        <v>198</v>
      </c>
      <c r="C59" s="15" t="s">
        <v>199</v>
      </c>
      <c r="D59" s="15" t="n">
        <f aca="false">INDEX('Template 2 - Current State'!$D$6:$D$77,MATCH($B59,'Template 2 - Current State'!$B$6:$B$77,0))</f>
        <v>0</v>
      </c>
      <c r="E59" s="15" t="n">
        <f aca="false">INDEX('Template 3 - Target State'!$E$6:$E$77,MATCH($B59,'Template 3 - Target State'!$B$6:$B$77,0))</f>
        <v>0</v>
      </c>
      <c r="F59" s="15" t="str">
        <f aca="false">IF(OR(D59="",E59=""),"",E59-D59)</f>
        <v/>
      </c>
      <c r="G59" s="15" t="str">
        <f aca="false">IF(F59="","",IF(F59&lt;=0,"None",IF(F59=1,"Minor",IF(F59=2,"Moderate","Major"))))</f>
        <v/>
      </c>
      <c r="H59" s="15"/>
      <c r="I59" s="15"/>
    </row>
    <row r="60" customFormat="false" ht="31.5" hidden="false" customHeight="true" outlineLevel="0" collapsed="false">
      <c r="A60" s="15" t="s">
        <v>165</v>
      </c>
      <c r="B60" s="15" t="s">
        <v>200</v>
      </c>
      <c r="C60" s="15" t="s">
        <v>201</v>
      </c>
      <c r="D60" s="15" t="n">
        <f aca="false">INDEX('Template 2 - Current State'!$D$6:$D$77,MATCH($B60,'Template 2 - Current State'!$B$6:$B$77,0))</f>
        <v>0</v>
      </c>
      <c r="E60" s="15" t="n">
        <f aca="false">INDEX('Template 3 - Target State'!$E$6:$E$77,MATCH($B60,'Template 3 - Target State'!$B$6:$B$77,0))</f>
        <v>0</v>
      </c>
      <c r="F60" s="15" t="str">
        <f aca="false">IF(OR(D60="",E60=""),"",E60-D60)</f>
        <v/>
      </c>
      <c r="G60" s="15" t="str">
        <f aca="false">IF(F60="","",IF(F60&lt;=0,"None",IF(F60=1,"Minor",IF(F60=2,"Moderate","Major"))))</f>
        <v/>
      </c>
      <c r="H60" s="15"/>
      <c r="I60" s="15"/>
    </row>
    <row r="61" customFormat="false" ht="31.5" hidden="false" customHeight="true" outlineLevel="0" collapsed="false">
      <c r="A61" s="15" t="s">
        <v>165</v>
      </c>
      <c r="B61" s="15" t="s">
        <v>202</v>
      </c>
      <c r="C61" s="15" t="s">
        <v>203</v>
      </c>
      <c r="D61" s="15" t="n">
        <f aca="false">INDEX('Template 2 - Current State'!$D$6:$D$77,MATCH($B61,'Template 2 - Current State'!$B$6:$B$77,0))</f>
        <v>0</v>
      </c>
      <c r="E61" s="15" t="n">
        <f aca="false">INDEX('Template 3 - Target State'!$E$6:$E$77,MATCH($B61,'Template 3 - Target State'!$B$6:$B$77,0))</f>
        <v>0</v>
      </c>
      <c r="F61" s="15" t="str">
        <f aca="false">IF(OR(D61="",E61=""),"",E61-D61)</f>
        <v/>
      </c>
      <c r="G61" s="15" t="str">
        <f aca="false">IF(F61="","",IF(F61&lt;=0,"None",IF(F61=1,"Minor",IF(F61=2,"Moderate","Major"))))</f>
        <v/>
      </c>
      <c r="H61" s="15"/>
      <c r="I61" s="15"/>
    </row>
    <row r="62" customFormat="false" ht="31.5" hidden="false" customHeight="true" outlineLevel="0" collapsed="false">
      <c r="A62" s="15" t="s">
        <v>165</v>
      </c>
      <c r="B62" s="15" t="s">
        <v>204</v>
      </c>
      <c r="C62" s="15" t="s">
        <v>205</v>
      </c>
      <c r="D62" s="15" t="n">
        <f aca="false">INDEX('Template 2 - Current State'!$D$6:$D$77,MATCH($B62,'Template 2 - Current State'!$B$6:$B$77,0))</f>
        <v>0</v>
      </c>
      <c r="E62" s="15" t="n">
        <f aca="false">INDEX('Template 3 - Target State'!$E$6:$E$77,MATCH($B62,'Template 3 - Target State'!$B$6:$B$77,0))</f>
        <v>0</v>
      </c>
      <c r="F62" s="15" t="str">
        <f aca="false">IF(OR(D62="",E62=""),"",E62-D62)</f>
        <v/>
      </c>
      <c r="G62" s="15" t="str">
        <f aca="false">IF(F62="","",IF(F62&lt;=0,"None",IF(F62=1,"Minor",IF(F62=2,"Moderate","Major"))))</f>
        <v/>
      </c>
      <c r="H62" s="15"/>
      <c r="I62" s="15"/>
    </row>
    <row r="63" customFormat="false" ht="31.5" hidden="false" customHeight="true" outlineLevel="0" collapsed="false">
      <c r="A63" s="15" t="s">
        <v>165</v>
      </c>
      <c r="B63" s="15" t="s">
        <v>206</v>
      </c>
      <c r="C63" s="15" t="s">
        <v>207</v>
      </c>
      <c r="D63" s="15" t="n">
        <f aca="false">INDEX('Template 2 - Current State'!$D$6:$D$77,MATCH($B63,'Template 2 - Current State'!$B$6:$B$77,0))</f>
        <v>0</v>
      </c>
      <c r="E63" s="15" t="n">
        <f aca="false">INDEX('Template 3 - Target State'!$E$6:$E$77,MATCH($B63,'Template 3 - Target State'!$B$6:$B$77,0))</f>
        <v>0</v>
      </c>
      <c r="F63" s="15" t="str">
        <f aca="false">IF(OR(D63="",E63=""),"",E63-D63)</f>
        <v/>
      </c>
      <c r="G63" s="15" t="str">
        <f aca="false">IF(F63="","",IF(F63&lt;=0,"None",IF(F63=1,"Minor",IF(F63=2,"Moderate","Major"))))</f>
        <v/>
      </c>
      <c r="H63" s="15"/>
      <c r="I63" s="15"/>
    </row>
    <row r="64" customFormat="false" ht="31.5" hidden="false" customHeight="true" outlineLevel="0" collapsed="false">
      <c r="A64" s="15" t="s">
        <v>165</v>
      </c>
      <c r="B64" s="15" t="s">
        <v>208</v>
      </c>
      <c r="C64" s="15" t="s">
        <v>209</v>
      </c>
      <c r="D64" s="15" t="n">
        <f aca="false">INDEX('Template 2 - Current State'!$D$6:$D$77,MATCH($B64,'Template 2 - Current State'!$B$6:$B$77,0))</f>
        <v>0</v>
      </c>
      <c r="E64" s="15" t="n">
        <f aca="false">INDEX('Template 3 - Target State'!$E$6:$E$77,MATCH($B64,'Template 3 - Target State'!$B$6:$B$77,0))</f>
        <v>0</v>
      </c>
      <c r="F64" s="15" t="str">
        <f aca="false">IF(OR(D64="",E64=""),"",E64-D64)</f>
        <v/>
      </c>
      <c r="G64" s="15" t="str">
        <f aca="false">IF(F64="","",IF(F64&lt;=0,"None",IF(F64=1,"Minor",IF(F64=2,"Moderate","Major"))))</f>
        <v/>
      </c>
      <c r="H64" s="15"/>
      <c r="I64" s="15"/>
    </row>
    <row r="65" customFormat="false" ht="31.5" hidden="false" customHeight="true" outlineLevel="0" collapsed="false">
      <c r="A65" s="15" t="s">
        <v>210</v>
      </c>
      <c r="B65" s="15" t="s">
        <v>211</v>
      </c>
      <c r="C65" s="15" t="s">
        <v>212</v>
      </c>
      <c r="D65" s="15" t="n">
        <f aca="false">INDEX('Template 2 - Current State'!$D$6:$D$77,MATCH($B65,'Template 2 - Current State'!$B$6:$B$77,0))</f>
        <v>0</v>
      </c>
      <c r="E65" s="15" t="n">
        <f aca="false">INDEX('Template 3 - Target State'!$E$6:$E$77,MATCH($B65,'Template 3 - Target State'!$B$6:$B$77,0))</f>
        <v>0</v>
      </c>
      <c r="F65" s="15" t="str">
        <f aca="false">IF(OR(D65="",E65=""),"",E65-D65)</f>
        <v/>
      </c>
      <c r="G65" s="15" t="str">
        <f aca="false">IF(F65="","",IF(F65&lt;=0,"None",IF(F65=1,"Minor",IF(F65=2,"Moderate","Major"))))</f>
        <v/>
      </c>
      <c r="H65" s="15"/>
      <c r="I65" s="15"/>
    </row>
    <row r="66" customFormat="false" ht="31.5" hidden="false" customHeight="true" outlineLevel="0" collapsed="false">
      <c r="A66" s="15" t="s">
        <v>210</v>
      </c>
      <c r="B66" s="15" t="s">
        <v>213</v>
      </c>
      <c r="C66" s="15" t="s">
        <v>214</v>
      </c>
      <c r="D66" s="15" t="n">
        <f aca="false">INDEX('Template 2 - Current State'!$D$6:$D$77,MATCH($B66,'Template 2 - Current State'!$B$6:$B$77,0))</f>
        <v>0</v>
      </c>
      <c r="E66" s="15" t="n">
        <f aca="false">INDEX('Template 3 - Target State'!$E$6:$E$77,MATCH($B66,'Template 3 - Target State'!$B$6:$B$77,0))</f>
        <v>0</v>
      </c>
      <c r="F66" s="15" t="str">
        <f aca="false">IF(OR(D66="",E66=""),"",E66-D66)</f>
        <v/>
      </c>
      <c r="G66" s="15" t="str">
        <f aca="false">IF(F66="","",IF(F66&lt;=0,"None",IF(F66=1,"Minor",IF(F66=2,"Moderate","Major"))))</f>
        <v/>
      </c>
      <c r="H66" s="15"/>
      <c r="I66" s="15"/>
    </row>
    <row r="67" customFormat="false" ht="31.5" hidden="false" customHeight="true" outlineLevel="0" collapsed="false">
      <c r="A67" s="15" t="s">
        <v>210</v>
      </c>
      <c r="B67" s="15" t="s">
        <v>215</v>
      </c>
      <c r="C67" s="15" t="s">
        <v>216</v>
      </c>
      <c r="D67" s="15" t="n">
        <f aca="false">INDEX('Template 2 - Current State'!$D$6:$D$77,MATCH($B67,'Template 2 - Current State'!$B$6:$B$77,0))</f>
        <v>0</v>
      </c>
      <c r="E67" s="15" t="n">
        <f aca="false">INDEX('Template 3 - Target State'!$E$6:$E$77,MATCH($B67,'Template 3 - Target State'!$B$6:$B$77,0))</f>
        <v>0</v>
      </c>
      <c r="F67" s="15" t="str">
        <f aca="false">IF(OR(D67="",E67=""),"",E67-D67)</f>
        <v/>
      </c>
      <c r="G67" s="15" t="str">
        <f aca="false">IF(F67="","",IF(F67&lt;=0,"None",IF(F67=1,"Minor",IF(F67=2,"Moderate","Major"))))</f>
        <v/>
      </c>
      <c r="H67" s="15"/>
      <c r="I67" s="15"/>
    </row>
    <row r="68" customFormat="false" ht="31.5" hidden="false" customHeight="true" outlineLevel="0" collapsed="false">
      <c r="A68" s="15" t="s">
        <v>210</v>
      </c>
      <c r="B68" s="15" t="s">
        <v>217</v>
      </c>
      <c r="C68" s="15" t="s">
        <v>218</v>
      </c>
      <c r="D68" s="15" t="n">
        <f aca="false">INDEX('Template 2 - Current State'!$D$6:$D$77,MATCH($B68,'Template 2 - Current State'!$B$6:$B$77,0))</f>
        <v>0</v>
      </c>
      <c r="E68" s="15" t="n">
        <f aca="false">INDEX('Template 3 - Target State'!$E$6:$E$77,MATCH($B68,'Template 3 - Target State'!$B$6:$B$77,0))</f>
        <v>0</v>
      </c>
      <c r="F68" s="15" t="str">
        <f aca="false">IF(OR(D68="",E68=""),"",E68-D68)</f>
        <v/>
      </c>
      <c r="G68" s="15" t="str">
        <f aca="false">IF(F68="","",IF(F68&lt;=0,"None",IF(F68=1,"Minor",IF(F68=2,"Moderate","Major"))))</f>
        <v/>
      </c>
      <c r="H68" s="15"/>
      <c r="I68" s="15"/>
    </row>
    <row r="69" customFormat="false" ht="31.5" hidden="false" customHeight="true" outlineLevel="0" collapsed="false">
      <c r="A69" s="15" t="s">
        <v>210</v>
      </c>
      <c r="B69" s="15" t="s">
        <v>219</v>
      </c>
      <c r="C69" s="15" t="s">
        <v>220</v>
      </c>
      <c r="D69" s="15" t="n">
        <f aca="false">INDEX('Template 2 - Current State'!$D$6:$D$77,MATCH($B69,'Template 2 - Current State'!$B$6:$B$77,0))</f>
        <v>0</v>
      </c>
      <c r="E69" s="15" t="n">
        <f aca="false">INDEX('Template 3 - Target State'!$E$6:$E$77,MATCH($B69,'Template 3 - Target State'!$B$6:$B$77,0))</f>
        <v>0</v>
      </c>
      <c r="F69" s="15" t="str">
        <f aca="false">IF(OR(D69="",E69=""),"",E69-D69)</f>
        <v/>
      </c>
      <c r="G69" s="15" t="str">
        <f aca="false">IF(F69="","",IF(F69&lt;=0,"None",IF(F69=1,"Minor",IF(F69=2,"Moderate","Major"))))</f>
        <v/>
      </c>
      <c r="H69" s="15"/>
      <c r="I69" s="15"/>
    </row>
    <row r="70" customFormat="false" ht="31.5" hidden="false" customHeight="true" outlineLevel="0" collapsed="false">
      <c r="A70" s="15" t="s">
        <v>210</v>
      </c>
      <c r="B70" s="15" t="s">
        <v>221</v>
      </c>
      <c r="C70" s="15" t="s">
        <v>222</v>
      </c>
      <c r="D70" s="15" t="n">
        <f aca="false">INDEX('Template 2 - Current State'!$D$6:$D$77,MATCH($B70,'Template 2 - Current State'!$B$6:$B$77,0))</f>
        <v>0</v>
      </c>
      <c r="E70" s="15" t="n">
        <f aca="false">INDEX('Template 3 - Target State'!$E$6:$E$77,MATCH($B70,'Template 3 - Target State'!$B$6:$B$77,0))</f>
        <v>0</v>
      </c>
      <c r="F70" s="15" t="str">
        <f aca="false">IF(OR(D70="",E70=""),"",E70-D70)</f>
        <v/>
      </c>
      <c r="G70" s="15" t="str">
        <f aca="false">IF(F70="","",IF(F70&lt;=0,"None",IF(F70=1,"Minor",IF(F70=2,"Moderate","Major"))))</f>
        <v/>
      </c>
      <c r="H70" s="15"/>
      <c r="I70" s="15"/>
    </row>
    <row r="71" customFormat="false" ht="31.5" hidden="false" customHeight="true" outlineLevel="0" collapsed="false">
      <c r="A71" s="15" t="s">
        <v>210</v>
      </c>
      <c r="B71" s="15" t="s">
        <v>223</v>
      </c>
      <c r="C71" s="15" t="s">
        <v>224</v>
      </c>
      <c r="D71" s="15" t="n">
        <f aca="false">INDEX('Template 2 - Current State'!$D$6:$D$77,MATCH($B71,'Template 2 - Current State'!$B$6:$B$77,0))</f>
        <v>0</v>
      </c>
      <c r="E71" s="15" t="n">
        <f aca="false">INDEX('Template 3 - Target State'!$E$6:$E$77,MATCH($B71,'Template 3 - Target State'!$B$6:$B$77,0))</f>
        <v>0</v>
      </c>
      <c r="F71" s="15" t="str">
        <f aca="false">IF(OR(D71="",E71=""),"",E71-D71)</f>
        <v/>
      </c>
      <c r="G71" s="15" t="str">
        <f aca="false">IF(F71="","",IF(F71&lt;=0,"None",IF(F71=1,"Minor",IF(F71=2,"Moderate","Major"))))</f>
        <v/>
      </c>
      <c r="H71" s="15"/>
      <c r="I71" s="15"/>
    </row>
    <row r="72" customFormat="false" ht="31.5" hidden="false" customHeight="true" outlineLevel="0" collapsed="false">
      <c r="A72" s="15" t="s">
        <v>210</v>
      </c>
      <c r="B72" s="15" t="s">
        <v>225</v>
      </c>
      <c r="C72" s="15" t="s">
        <v>226</v>
      </c>
      <c r="D72" s="15" t="n">
        <f aca="false">INDEX('Template 2 - Current State'!$D$6:$D$77,MATCH($B72,'Template 2 - Current State'!$B$6:$B$77,0))</f>
        <v>0</v>
      </c>
      <c r="E72" s="15" t="n">
        <f aca="false">INDEX('Template 3 - Target State'!$E$6:$E$77,MATCH($B72,'Template 3 - Target State'!$B$6:$B$77,0))</f>
        <v>0</v>
      </c>
      <c r="F72" s="15" t="str">
        <f aca="false">IF(OR(D72="",E72=""),"",E72-D72)</f>
        <v/>
      </c>
      <c r="G72" s="15" t="str">
        <f aca="false">IF(F72="","",IF(F72&lt;=0,"None",IF(F72=1,"Minor",IF(F72=2,"Moderate","Major"))))</f>
        <v/>
      </c>
      <c r="H72" s="15"/>
      <c r="I72" s="15"/>
    </row>
    <row r="73" customFormat="false" ht="31.5" hidden="false" customHeight="true" outlineLevel="0" collapsed="false">
      <c r="A73" s="15" t="s">
        <v>210</v>
      </c>
      <c r="B73" s="15" t="s">
        <v>227</v>
      </c>
      <c r="C73" s="15" t="s">
        <v>228</v>
      </c>
      <c r="D73" s="15" t="n">
        <f aca="false">INDEX('Template 2 - Current State'!$D$6:$D$77,MATCH($B73,'Template 2 - Current State'!$B$6:$B$77,0))</f>
        <v>0</v>
      </c>
      <c r="E73" s="15" t="n">
        <f aca="false">INDEX('Template 3 - Target State'!$E$6:$E$77,MATCH($B73,'Template 3 - Target State'!$B$6:$B$77,0))</f>
        <v>0</v>
      </c>
      <c r="F73" s="15" t="str">
        <f aca="false">IF(OR(D73="",E73=""),"",E73-D73)</f>
        <v/>
      </c>
      <c r="G73" s="15" t="str">
        <f aca="false">IF(F73="","",IF(F73&lt;=0,"None",IF(F73=1,"Minor",IF(F73=2,"Moderate","Major"))))</f>
        <v/>
      </c>
      <c r="H73" s="15"/>
      <c r="I73" s="15"/>
    </row>
    <row r="74" customFormat="false" ht="31.5" hidden="false" customHeight="true" outlineLevel="0" collapsed="false">
      <c r="A74" s="15" t="s">
        <v>210</v>
      </c>
      <c r="B74" s="15" t="s">
        <v>229</v>
      </c>
      <c r="C74" s="15" t="s">
        <v>230</v>
      </c>
      <c r="D74" s="15" t="n">
        <f aca="false">INDEX('Template 2 - Current State'!$D$6:$D$77,MATCH($B74,'Template 2 - Current State'!$B$6:$B$77,0))</f>
        <v>0</v>
      </c>
      <c r="E74" s="15" t="n">
        <f aca="false">INDEX('Template 3 - Target State'!$E$6:$E$77,MATCH($B74,'Template 3 - Target State'!$B$6:$B$77,0))</f>
        <v>0</v>
      </c>
      <c r="F74" s="15" t="str">
        <f aca="false">IF(OR(D74="",E74=""),"",E74-D74)</f>
        <v/>
      </c>
      <c r="G74" s="15" t="str">
        <f aca="false">IF(F74="","",IF(F74&lt;=0,"None",IF(F74=1,"Minor",IF(F74=2,"Moderate","Major"))))</f>
        <v/>
      </c>
      <c r="H74" s="15"/>
      <c r="I74" s="15"/>
    </row>
    <row r="75" customFormat="false" ht="31.5" hidden="false" customHeight="true" outlineLevel="0" collapsed="false">
      <c r="A75" s="15" t="s">
        <v>210</v>
      </c>
      <c r="B75" s="15" t="s">
        <v>231</v>
      </c>
      <c r="C75" s="15" t="s">
        <v>232</v>
      </c>
      <c r="D75" s="15" t="n">
        <f aca="false">INDEX('Template 2 - Current State'!$D$6:$D$77,MATCH($B75,'Template 2 - Current State'!$B$6:$B$77,0))</f>
        <v>0</v>
      </c>
      <c r="E75" s="15" t="n">
        <f aca="false">INDEX('Template 3 - Target State'!$E$6:$E$77,MATCH($B75,'Template 3 - Target State'!$B$6:$B$77,0))</f>
        <v>0</v>
      </c>
      <c r="F75" s="15" t="str">
        <f aca="false">IF(OR(D75="",E75=""),"",E75-D75)</f>
        <v/>
      </c>
      <c r="G75" s="15" t="str">
        <f aca="false">IF(F75="","",IF(F75&lt;=0,"None",IF(F75=1,"Minor",IF(F75=2,"Moderate","Major"))))</f>
        <v/>
      </c>
      <c r="H75" s="15"/>
      <c r="I75" s="15"/>
    </row>
    <row r="76" customFormat="false" ht="31.5" hidden="false" customHeight="true" outlineLevel="0" collapsed="false">
      <c r="A76" s="15" t="s">
        <v>210</v>
      </c>
      <c r="B76" s="15" t="s">
        <v>233</v>
      </c>
      <c r="C76" s="15" t="s">
        <v>234</v>
      </c>
      <c r="D76" s="15" t="n">
        <f aca="false">INDEX('Template 2 - Current State'!$D$6:$D$77,MATCH($B76,'Template 2 - Current State'!$B$6:$B$77,0))</f>
        <v>0</v>
      </c>
      <c r="E76" s="15" t="n">
        <f aca="false">INDEX('Template 3 - Target State'!$E$6:$E$77,MATCH($B76,'Template 3 - Target State'!$B$6:$B$77,0))</f>
        <v>0</v>
      </c>
      <c r="F76" s="15" t="str">
        <f aca="false">IF(OR(D76="",E76=""),"",E76-D76)</f>
        <v/>
      </c>
      <c r="G76" s="15" t="str">
        <f aca="false">IF(F76="","",IF(F76&lt;=0,"None",IF(F76=1,"Minor",IF(F76=2,"Moderate","Major"))))</f>
        <v/>
      </c>
      <c r="H76" s="15"/>
      <c r="I76" s="15"/>
    </row>
    <row r="77" customFormat="false" ht="31.5" hidden="false" customHeight="true" outlineLevel="0" collapsed="false">
      <c r="A77" s="15" t="s">
        <v>210</v>
      </c>
      <c r="B77" s="15" t="s">
        <v>235</v>
      </c>
      <c r="C77" s="15" t="s">
        <v>236</v>
      </c>
      <c r="D77" s="15" t="n">
        <f aca="false">INDEX('Template 2 - Current State'!$D$6:$D$77,MATCH($B77,'Template 2 - Current State'!$B$6:$B$77,0))</f>
        <v>0</v>
      </c>
      <c r="E77" s="15" t="n">
        <f aca="false">INDEX('Template 3 - Target State'!$E$6:$E$77,MATCH($B77,'Template 3 - Target State'!$B$6:$B$77,0))</f>
        <v>0</v>
      </c>
      <c r="F77" s="15" t="str">
        <f aca="false">IF(OR(D77="",E77=""),"",E77-D77)</f>
        <v/>
      </c>
      <c r="G77" s="15" t="str">
        <f aca="false">IF(F77="","",IF(F77&lt;=0,"None",IF(F77=1,"Minor",IF(F77=2,"Moderate","Major"))))</f>
        <v/>
      </c>
      <c r="H77" s="15"/>
      <c r="I77" s="15"/>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6"/>
    <col collapsed="false" customWidth="true" hidden="false" outlineLevel="0" max="4" min="4" style="0" width="16"/>
    <col collapsed="false" customWidth="true" hidden="false" outlineLevel="0" max="5" min="5" style="0" width="45"/>
    <col collapsed="false" customWidth="true" hidden="false" outlineLevel="0" max="6" min="6" style="0" width="18"/>
    <col collapsed="false" customWidth="true" hidden="false" outlineLevel="0" max="7" min="7" style="0" width="14"/>
  </cols>
  <sheetData>
    <row r="1" customFormat="false" ht="27.75" hidden="false" customHeight="true" outlineLevel="0" collapsed="false">
      <c r="A1" s="1" t="s">
        <v>32</v>
      </c>
      <c r="B1" s="1"/>
      <c r="C1" s="1"/>
      <c r="D1" s="1"/>
      <c r="E1" s="1"/>
      <c r="F1" s="1"/>
      <c r="G1" s="1"/>
    </row>
    <row r="2" customFormat="false" ht="18" hidden="false" customHeight="true" outlineLevel="0" collapsed="false">
      <c r="A2" s="2" t="s">
        <v>257</v>
      </c>
      <c r="B2" s="2"/>
      <c r="C2" s="2"/>
      <c r="D2" s="2"/>
      <c r="E2" s="2"/>
      <c r="F2" s="2"/>
      <c r="G2" s="2"/>
    </row>
    <row r="4" customFormat="false" ht="31.5" hidden="false" customHeight="true" outlineLevel="0" collapsed="false">
      <c r="A4" s="8" t="s">
        <v>258</v>
      </c>
      <c r="B4" s="8" t="s">
        <v>259</v>
      </c>
      <c r="C4" s="8" t="s">
        <v>260</v>
      </c>
      <c r="D4" s="8" t="s">
        <v>261</v>
      </c>
      <c r="E4" s="8" t="s">
        <v>262</v>
      </c>
      <c r="F4" s="8" t="s">
        <v>263</v>
      </c>
      <c r="G4" s="8" t="s">
        <v>85</v>
      </c>
    </row>
    <row r="5" customFormat="false" ht="23.85" hidden="false" customHeight="false" outlineLevel="0" collapsed="false">
      <c r="A5" s="13" t="s">
        <v>264</v>
      </c>
      <c r="B5" s="13" t="s">
        <v>265</v>
      </c>
      <c r="C5" s="13" t="s">
        <v>266</v>
      </c>
      <c r="D5" s="13" t="s">
        <v>161</v>
      </c>
      <c r="E5" s="13" t="s">
        <v>267</v>
      </c>
      <c r="F5" s="13" t="s">
        <v>268</v>
      </c>
      <c r="G5" s="13" t="s">
        <v>90</v>
      </c>
    </row>
    <row r="6" customFormat="false" ht="19.5" hidden="false" customHeight="true" outlineLevel="0" collapsed="false">
      <c r="A6" s="14"/>
      <c r="B6" s="14"/>
      <c r="C6" s="14"/>
      <c r="D6" s="14"/>
      <c r="E6" s="14"/>
      <c r="F6" s="14"/>
      <c r="G6" s="14"/>
    </row>
    <row r="7" customFormat="false" ht="19.5" hidden="false" customHeight="true" outlineLevel="0" collapsed="false">
      <c r="A7" s="14"/>
      <c r="B7" s="14"/>
      <c r="C7" s="14"/>
      <c r="D7" s="14"/>
      <c r="E7" s="14"/>
      <c r="F7" s="14"/>
      <c r="G7" s="14"/>
    </row>
    <row r="8" customFormat="false" ht="19.5" hidden="false" customHeight="true" outlineLevel="0" collapsed="false">
      <c r="A8" s="14"/>
      <c r="B8" s="14"/>
      <c r="C8" s="14"/>
      <c r="D8" s="14"/>
      <c r="E8" s="14"/>
      <c r="F8" s="14"/>
      <c r="G8" s="14"/>
    </row>
    <row r="9" customFormat="false" ht="19.5" hidden="false" customHeight="true" outlineLevel="0" collapsed="false">
      <c r="A9" s="14"/>
      <c r="B9" s="14"/>
      <c r="C9" s="14"/>
      <c r="D9" s="14"/>
      <c r="E9" s="14"/>
      <c r="F9" s="14"/>
      <c r="G9" s="14"/>
    </row>
    <row r="10" customFormat="false" ht="19.5" hidden="false" customHeight="true" outlineLevel="0" collapsed="false">
      <c r="A10" s="14"/>
      <c r="B10" s="14"/>
      <c r="C10" s="14"/>
      <c r="D10" s="14"/>
      <c r="E10" s="14"/>
      <c r="F10" s="14"/>
      <c r="G10" s="14"/>
    </row>
    <row r="11" customFormat="false" ht="19.5" hidden="false" customHeight="true" outlineLevel="0" collapsed="false">
      <c r="A11" s="14"/>
      <c r="B11" s="14"/>
      <c r="C11" s="14"/>
      <c r="D11" s="14"/>
      <c r="E11" s="14"/>
      <c r="F11" s="14"/>
      <c r="G11" s="14"/>
    </row>
    <row r="12" customFormat="false" ht="19.5" hidden="false" customHeight="true" outlineLevel="0" collapsed="false">
      <c r="A12" s="14"/>
      <c r="B12" s="14"/>
      <c r="C12" s="14"/>
      <c r="D12" s="14"/>
      <c r="E12" s="14"/>
      <c r="F12" s="14"/>
      <c r="G12" s="14"/>
    </row>
    <row r="13" customFormat="false" ht="19.5" hidden="false" customHeight="true" outlineLevel="0" collapsed="false">
      <c r="A13" s="14"/>
      <c r="B13" s="14"/>
      <c r="C13" s="14"/>
      <c r="D13" s="14"/>
      <c r="E13" s="14"/>
      <c r="F13" s="14"/>
      <c r="G13" s="14"/>
    </row>
    <row r="14" customFormat="false" ht="19.5" hidden="false" customHeight="true" outlineLevel="0" collapsed="false">
      <c r="A14" s="14"/>
      <c r="B14" s="14"/>
      <c r="C14" s="14"/>
      <c r="D14" s="14"/>
      <c r="E14" s="14"/>
      <c r="F14" s="14"/>
      <c r="G14" s="14"/>
    </row>
    <row r="15" customFormat="false" ht="19.5" hidden="false" customHeight="true" outlineLevel="0" collapsed="false">
      <c r="A15" s="14"/>
      <c r="B15" s="14"/>
      <c r="C15" s="14"/>
      <c r="D15" s="14"/>
      <c r="E15" s="14"/>
      <c r="F15" s="14"/>
      <c r="G15" s="14"/>
    </row>
    <row r="16" customFormat="false" ht="19.5" hidden="false" customHeight="true" outlineLevel="0" collapsed="false">
      <c r="A16" s="14"/>
      <c r="B16" s="14"/>
      <c r="C16" s="14"/>
      <c r="D16" s="14"/>
      <c r="E16" s="14"/>
      <c r="F16" s="14"/>
      <c r="G16" s="14"/>
    </row>
    <row r="17" customFormat="false" ht="19.5" hidden="false" customHeight="true" outlineLevel="0" collapsed="false">
      <c r="A17" s="14"/>
      <c r="B17" s="14"/>
      <c r="C17" s="14"/>
      <c r="D17" s="14"/>
      <c r="E17" s="14"/>
      <c r="F17" s="14"/>
      <c r="G17" s="14"/>
    </row>
    <row r="18" customFormat="false" ht="19.5" hidden="false" customHeight="true" outlineLevel="0" collapsed="false">
      <c r="A18" s="14"/>
      <c r="B18" s="14"/>
      <c r="C18" s="14"/>
      <c r="D18" s="14"/>
      <c r="E18" s="14"/>
      <c r="F18" s="14"/>
      <c r="G18" s="14"/>
    </row>
    <row r="19" customFormat="false" ht="19.5" hidden="false" customHeight="true" outlineLevel="0" collapsed="false">
      <c r="A19" s="14"/>
      <c r="B19" s="14"/>
      <c r="C19" s="14"/>
      <c r="D19" s="14"/>
      <c r="E19" s="14"/>
      <c r="F19" s="14"/>
      <c r="G19" s="14"/>
    </row>
    <row r="20" customFormat="false" ht="19.5" hidden="false" customHeight="true" outlineLevel="0" collapsed="false">
      <c r="A20" s="14"/>
      <c r="B20" s="14"/>
      <c r="C20" s="14"/>
      <c r="D20" s="14"/>
      <c r="E20" s="14"/>
      <c r="F20" s="14"/>
      <c r="G20" s="14"/>
    </row>
    <row r="21" customFormat="false" ht="19.5" hidden="false" customHeight="true" outlineLevel="0" collapsed="false">
      <c r="A21" s="14"/>
      <c r="B21" s="14"/>
      <c r="C21" s="14"/>
      <c r="D21" s="14"/>
      <c r="E21" s="14"/>
      <c r="F21" s="14"/>
      <c r="G21" s="14"/>
    </row>
    <row r="22" customFormat="false" ht="19.5" hidden="false" customHeight="true" outlineLevel="0" collapsed="false">
      <c r="A22" s="14"/>
      <c r="B22" s="14"/>
      <c r="C22" s="14"/>
      <c r="D22" s="14"/>
      <c r="E22" s="14"/>
      <c r="F22" s="14"/>
      <c r="G22" s="14"/>
    </row>
    <row r="23" customFormat="false" ht="19.5" hidden="false" customHeight="true" outlineLevel="0" collapsed="false">
      <c r="A23" s="14"/>
      <c r="B23" s="14"/>
      <c r="C23" s="14"/>
      <c r="D23" s="14"/>
      <c r="E23" s="14"/>
      <c r="F23" s="14"/>
      <c r="G23" s="14"/>
    </row>
    <row r="24" customFormat="false" ht="19.5" hidden="false" customHeight="true" outlineLevel="0" collapsed="false">
      <c r="A24" s="14"/>
      <c r="B24" s="14"/>
      <c r="C24" s="14"/>
      <c r="D24" s="14"/>
      <c r="E24" s="14"/>
      <c r="F24" s="14"/>
      <c r="G24" s="14"/>
    </row>
    <row r="25" customFormat="false" ht="19.5" hidden="false" customHeight="true" outlineLevel="0" collapsed="false">
      <c r="A25" s="14"/>
      <c r="B25" s="14"/>
      <c r="C25" s="14"/>
      <c r="D25" s="14"/>
      <c r="E25" s="14"/>
      <c r="F25" s="14"/>
      <c r="G25" s="14"/>
    </row>
    <row r="26" customFormat="false" ht="19.5" hidden="false" customHeight="true" outlineLevel="0" collapsed="false">
      <c r="A26" s="14"/>
      <c r="B26" s="14"/>
      <c r="C26" s="14"/>
      <c r="D26" s="14"/>
      <c r="E26" s="14"/>
      <c r="F26" s="14"/>
      <c r="G26" s="14"/>
    </row>
    <row r="27" customFormat="false" ht="19.5" hidden="false" customHeight="true" outlineLevel="0" collapsed="false">
      <c r="A27" s="14"/>
      <c r="B27" s="14"/>
      <c r="C27" s="14"/>
      <c r="D27" s="14"/>
      <c r="E27" s="14"/>
      <c r="F27" s="14"/>
      <c r="G27" s="14"/>
    </row>
    <row r="28" customFormat="false" ht="19.5" hidden="false" customHeight="true" outlineLevel="0" collapsed="false">
      <c r="A28" s="14"/>
      <c r="B28" s="14"/>
      <c r="C28" s="14"/>
      <c r="D28" s="14"/>
      <c r="E28" s="14"/>
      <c r="F28" s="14"/>
      <c r="G28" s="14"/>
    </row>
    <row r="29" customFormat="false" ht="19.5" hidden="false" customHeight="true" outlineLevel="0" collapsed="false">
      <c r="A29" s="14"/>
      <c r="B29" s="14"/>
      <c r="C29" s="14"/>
      <c r="D29" s="14"/>
      <c r="E29" s="14"/>
      <c r="F29" s="14"/>
      <c r="G29" s="14"/>
    </row>
    <row r="30" customFormat="false" ht="19.5" hidden="false" customHeight="true" outlineLevel="0" collapsed="false">
      <c r="A30" s="14"/>
      <c r="B30" s="14"/>
      <c r="C30" s="14"/>
      <c r="D30" s="14"/>
      <c r="E30" s="14"/>
      <c r="F30" s="14"/>
      <c r="G30" s="14"/>
    </row>
    <row r="31" customFormat="false" ht="19.5" hidden="false" customHeight="true" outlineLevel="0" collapsed="false">
      <c r="A31" s="14"/>
      <c r="B31" s="14"/>
      <c r="C31" s="14"/>
      <c r="D31" s="14"/>
      <c r="E31" s="14"/>
      <c r="F31" s="14"/>
      <c r="G31" s="14"/>
    </row>
    <row r="32" customFormat="false" ht="19.5" hidden="false" customHeight="true" outlineLevel="0" collapsed="false">
      <c r="A32" s="14"/>
      <c r="B32" s="14"/>
      <c r="C32" s="14"/>
      <c r="D32" s="14"/>
      <c r="E32" s="14"/>
      <c r="F32" s="14"/>
      <c r="G32" s="14"/>
    </row>
    <row r="33" customFormat="false" ht="19.5" hidden="false" customHeight="true" outlineLevel="0" collapsed="false">
      <c r="A33" s="14"/>
      <c r="B33" s="14"/>
      <c r="C33" s="14"/>
      <c r="D33" s="14"/>
      <c r="E33" s="14"/>
      <c r="F33" s="14"/>
      <c r="G33" s="14"/>
    </row>
    <row r="34" customFormat="false" ht="19.5" hidden="false" customHeight="true" outlineLevel="0" collapsed="false">
      <c r="A34" s="14"/>
      <c r="B34" s="14"/>
      <c r="C34" s="14"/>
      <c r="D34" s="14"/>
      <c r="E34" s="14"/>
      <c r="F34" s="14"/>
      <c r="G34" s="14"/>
    </row>
    <row r="35" customFormat="false" ht="19.5" hidden="false" customHeight="true" outlineLevel="0" collapsed="false">
      <c r="A35" s="14"/>
      <c r="B35" s="14"/>
      <c r="C35" s="14"/>
      <c r="D35" s="14"/>
      <c r="E35" s="14"/>
      <c r="F35" s="14"/>
      <c r="G35" s="14"/>
    </row>
    <row r="36" customFormat="false" ht="19.5" hidden="false" customHeight="true" outlineLevel="0" collapsed="false">
      <c r="A36" s="14"/>
      <c r="B36" s="14"/>
      <c r="C36" s="14"/>
      <c r="D36" s="14"/>
      <c r="E36" s="14"/>
      <c r="F36" s="14"/>
      <c r="G36" s="14"/>
    </row>
    <row r="37" customFormat="false" ht="19.5" hidden="false" customHeight="true" outlineLevel="0" collapsed="false">
      <c r="A37" s="14"/>
      <c r="B37" s="14"/>
      <c r="C37" s="14"/>
      <c r="D37" s="14"/>
      <c r="E37" s="14"/>
      <c r="F37" s="14"/>
      <c r="G37" s="14"/>
    </row>
  </sheetData>
  <mergeCells count="2">
    <mergeCell ref="A1:G1"/>
    <mergeCell ref="A2:G2"/>
  </mergeCells>
  <dataValidations count="1">
    <dataValidation allowBlank="true" errorStyle="stop" operator="between" showDropDown="false" showErrorMessage="false" showInputMessage="false" sqref="F5:F37" type="list">
      <formula1>"Supports Current-State Score,Supports Finding,Needs Follow-up"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4"/>
    <col collapsed="false" customWidth="true" hidden="false" outlineLevel="0" max="5" min="4" style="0" width="36"/>
    <col collapsed="false" customWidth="true" hidden="false" outlineLevel="0" max="6" min="6" style="0" width="12"/>
    <col collapsed="false" customWidth="true" hidden="false" outlineLevel="0" max="8" min="7" style="0" width="10"/>
    <col collapsed="false" customWidth="true" hidden="false" outlineLevel="0" max="9" min="9" style="0" width="12"/>
    <col collapsed="false" customWidth="true" hidden="false" outlineLevel="0" max="10" min="10" style="0" width="30"/>
    <col collapsed="false" customWidth="true" hidden="false" outlineLevel="0" max="11" min="11" style="0" width="16"/>
    <col collapsed="false" customWidth="true" hidden="false" outlineLevel="0" max="13" min="12" style="0" width="14"/>
  </cols>
  <sheetData>
    <row r="1" customFormat="false" ht="27.75" hidden="false" customHeight="true" outlineLevel="0" collapsed="false">
      <c r="A1" s="1" t="s">
        <v>269</v>
      </c>
      <c r="B1" s="1"/>
      <c r="C1" s="1"/>
      <c r="D1" s="1"/>
      <c r="E1" s="1"/>
      <c r="F1" s="1"/>
      <c r="G1" s="1"/>
      <c r="H1" s="1"/>
      <c r="I1" s="1"/>
      <c r="J1" s="1"/>
      <c r="K1" s="1"/>
      <c r="L1" s="1"/>
      <c r="M1" s="1"/>
    </row>
    <row r="2" customFormat="false" ht="18" hidden="false" customHeight="true" outlineLevel="0" collapsed="false">
      <c r="A2" s="2" t="s">
        <v>270</v>
      </c>
      <c r="B2" s="2"/>
      <c r="C2" s="2"/>
      <c r="D2" s="2"/>
      <c r="E2" s="2"/>
      <c r="F2" s="2"/>
      <c r="G2" s="2"/>
      <c r="H2" s="2"/>
      <c r="I2" s="2"/>
      <c r="J2" s="2"/>
      <c r="K2" s="2"/>
      <c r="L2" s="2"/>
      <c r="M2" s="2"/>
    </row>
    <row r="4" customFormat="false" ht="31.5" hidden="false" customHeight="true" outlineLevel="0" collapsed="false">
      <c r="A4" s="8" t="s">
        <v>271</v>
      </c>
      <c r="B4" s="8" t="s">
        <v>272</v>
      </c>
      <c r="C4" s="8" t="s">
        <v>273</v>
      </c>
      <c r="D4" s="8" t="s">
        <v>274</v>
      </c>
      <c r="E4" s="8" t="s">
        <v>275</v>
      </c>
      <c r="F4" s="8" t="s">
        <v>276</v>
      </c>
      <c r="G4" s="8" t="s">
        <v>277</v>
      </c>
      <c r="H4" s="8" t="s">
        <v>278</v>
      </c>
      <c r="I4" s="8" t="s">
        <v>241</v>
      </c>
      <c r="J4" s="8" t="s">
        <v>254</v>
      </c>
      <c r="K4" s="8" t="s">
        <v>244</v>
      </c>
      <c r="L4" s="8" t="s">
        <v>242</v>
      </c>
      <c r="M4" s="8" t="s">
        <v>279</v>
      </c>
    </row>
    <row r="5" customFormat="false" ht="35.05" hidden="false" customHeight="false" outlineLevel="0" collapsed="false">
      <c r="A5" s="13" t="s">
        <v>280</v>
      </c>
      <c r="B5" s="13" t="s">
        <v>281</v>
      </c>
      <c r="C5" s="13" t="s">
        <v>161</v>
      </c>
      <c r="D5" s="13" t="s">
        <v>282</v>
      </c>
      <c r="E5" s="13" t="s">
        <v>283</v>
      </c>
      <c r="F5" s="13" t="n">
        <v>3</v>
      </c>
      <c r="G5" s="13" t="n">
        <v>4</v>
      </c>
      <c r="H5" s="13" t="n">
        <f aca="false">F5*G5</f>
        <v>12</v>
      </c>
      <c r="I5" s="13" t="s">
        <v>245</v>
      </c>
      <c r="J5" s="13" t="s">
        <v>284</v>
      </c>
      <c r="K5" s="13" t="s">
        <v>285</v>
      </c>
      <c r="L5" s="13" t="s">
        <v>286</v>
      </c>
      <c r="M5" s="13" t="s">
        <v>287</v>
      </c>
    </row>
    <row r="6" customFormat="false" ht="19.5" hidden="false" customHeight="true" outlineLevel="0" collapsed="false">
      <c r="A6" s="14"/>
      <c r="B6" s="14"/>
      <c r="C6" s="14"/>
      <c r="D6" s="14"/>
      <c r="E6" s="14"/>
      <c r="F6" s="14"/>
      <c r="G6" s="14"/>
      <c r="H6" s="14" t="str">
        <f aca="false">IF(OR(F6="",G6=""),"",F6*G6)</f>
        <v/>
      </c>
      <c r="I6" s="14"/>
      <c r="J6" s="14"/>
      <c r="K6" s="14"/>
      <c r="L6" s="14"/>
      <c r="M6" s="14"/>
    </row>
    <row r="7" customFormat="false" ht="19.5" hidden="false" customHeight="true" outlineLevel="0" collapsed="false">
      <c r="A7" s="14"/>
      <c r="B7" s="14"/>
      <c r="C7" s="14"/>
      <c r="D7" s="14"/>
      <c r="E7" s="14"/>
      <c r="F7" s="14"/>
      <c r="G7" s="14"/>
      <c r="H7" s="14" t="str">
        <f aca="false">IF(OR(F7="",G7=""),"",F7*G7)</f>
        <v/>
      </c>
      <c r="I7" s="14"/>
      <c r="J7" s="14"/>
      <c r="K7" s="14"/>
      <c r="L7" s="14"/>
      <c r="M7" s="14"/>
    </row>
    <row r="8" customFormat="false" ht="19.5" hidden="false" customHeight="true" outlineLevel="0" collapsed="false">
      <c r="A8" s="14"/>
      <c r="B8" s="14"/>
      <c r="C8" s="14"/>
      <c r="D8" s="14"/>
      <c r="E8" s="14"/>
      <c r="F8" s="14"/>
      <c r="G8" s="14"/>
      <c r="H8" s="14" t="str">
        <f aca="false">IF(OR(F8="",G8=""),"",F8*G8)</f>
        <v/>
      </c>
      <c r="I8" s="14"/>
      <c r="J8" s="14"/>
      <c r="K8" s="14"/>
      <c r="L8" s="14"/>
      <c r="M8" s="14"/>
    </row>
    <row r="9" customFormat="false" ht="19.5" hidden="false" customHeight="true" outlineLevel="0" collapsed="false">
      <c r="A9" s="14"/>
      <c r="B9" s="14"/>
      <c r="C9" s="14"/>
      <c r="D9" s="14"/>
      <c r="E9" s="14"/>
      <c r="F9" s="14"/>
      <c r="G9" s="14"/>
      <c r="H9" s="14" t="str">
        <f aca="false">IF(OR(F9="",G9=""),"",F9*G9)</f>
        <v/>
      </c>
      <c r="I9" s="14"/>
      <c r="J9" s="14"/>
      <c r="K9" s="14"/>
      <c r="L9" s="14"/>
      <c r="M9" s="14"/>
    </row>
    <row r="10" customFormat="false" ht="19.5" hidden="false" customHeight="true" outlineLevel="0" collapsed="false">
      <c r="A10" s="14"/>
      <c r="B10" s="14"/>
      <c r="C10" s="14"/>
      <c r="D10" s="14"/>
      <c r="E10" s="14"/>
      <c r="F10" s="14"/>
      <c r="G10" s="14"/>
      <c r="H10" s="14" t="str">
        <f aca="false">IF(OR(F10="",G10=""),"",F10*G10)</f>
        <v/>
      </c>
      <c r="I10" s="14"/>
      <c r="J10" s="14"/>
      <c r="K10" s="14"/>
      <c r="L10" s="14"/>
      <c r="M10" s="14"/>
    </row>
    <row r="11" customFormat="false" ht="19.5" hidden="false" customHeight="true" outlineLevel="0" collapsed="false">
      <c r="A11" s="14"/>
      <c r="B11" s="14"/>
      <c r="C11" s="14"/>
      <c r="D11" s="14"/>
      <c r="E11" s="14"/>
      <c r="F11" s="14"/>
      <c r="G11" s="14"/>
      <c r="H11" s="14" t="str">
        <f aca="false">IF(OR(F11="",G11=""),"",F11*G11)</f>
        <v/>
      </c>
      <c r="I11" s="14"/>
      <c r="J11" s="14"/>
      <c r="K11" s="14"/>
      <c r="L11" s="14"/>
      <c r="M11" s="14"/>
    </row>
    <row r="12" customFormat="false" ht="19.5" hidden="false" customHeight="true" outlineLevel="0" collapsed="false">
      <c r="A12" s="14"/>
      <c r="B12" s="14"/>
      <c r="C12" s="14"/>
      <c r="D12" s="14"/>
      <c r="E12" s="14"/>
      <c r="F12" s="14"/>
      <c r="G12" s="14"/>
      <c r="H12" s="14" t="str">
        <f aca="false">IF(OR(F12="",G12=""),"",F12*G12)</f>
        <v/>
      </c>
      <c r="I12" s="14"/>
      <c r="J12" s="14"/>
      <c r="K12" s="14"/>
      <c r="L12" s="14"/>
      <c r="M12" s="14"/>
    </row>
    <row r="13" customFormat="false" ht="19.5" hidden="false" customHeight="true" outlineLevel="0" collapsed="false">
      <c r="A13" s="14"/>
      <c r="B13" s="14"/>
      <c r="C13" s="14"/>
      <c r="D13" s="14"/>
      <c r="E13" s="14"/>
      <c r="F13" s="14"/>
      <c r="G13" s="14"/>
      <c r="H13" s="14" t="str">
        <f aca="false">IF(OR(F13="",G13=""),"",F13*G13)</f>
        <v/>
      </c>
      <c r="I13" s="14"/>
      <c r="J13" s="14"/>
      <c r="K13" s="14"/>
      <c r="L13" s="14"/>
      <c r="M13" s="14"/>
    </row>
    <row r="14" customFormat="false" ht="19.5" hidden="false" customHeight="true" outlineLevel="0" collapsed="false">
      <c r="A14" s="14"/>
      <c r="B14" s="14"/>
      <c r="C14" s="14"/>
      <c r="D14" s="14"/>
      <c r="E14" s="14"/>
      <c r="F14" s="14"/>
      <c r="G14" s="14"/>
      <c r="H14" s="14" t="str">
        <f aca="false">IF(OR(F14="",G14=""),"",F14*G14)</f>
        <v/>
      </c>
      <c r="I14" s="14"/>
      <c r="J14" s="14"/>
      <c r="K14" s="14"/>
      <c r="L14" s="14"/>
      <c r="M14" s="14"/>
    </row>
    <row r="15" customFormat="false" ht="19.5" hidden="false" customHeight="true" outlineLevel="0" collapsed="false">
      <c r="A15" s="14"/>
      <c r="B15" s="14"/>
      <c r="C15" s="14"/>
      <c r="D15" s="14"/>
      <c r="E15" s="14"/>
      <c r="F15" s="14"/>
      <c r="G15" s="14"/>
      <c r="H15" s="14" t="str">
        <f aca="false">IF(OR(F15="",G15=""),"",F15*G15)</f>
        <v/>
      </c>
      <c r="I15" s="14"/>
      <c r="J15" s="14"/>
      <c r="K15" s="14"/>
      <c r="L15" s="14"/>
      <c r="M15" s="14"/>
    </row>
    <row r="16" customFormat="false" ht="19.5" hidden="false" customHeight="true" outlineLevel="0" collapsed="false">
      <c r="A16" s="14"/>
      <c r="B16" s="14"/>
      <c r="C16" s="14"/>
      <c r="D16" s="14"/>
      <c r="E16" s="14"/>
      <c r="F16" s="14"/>
      <c r="G16" s="14"/>
      <c r="H16" s="14" t="str">
        <f aca="false">IF(OR(F16="",G16=""),"",F16*G16)</f>
        <v/>
      </c>
      <c r="I16" s="14"/>
      <c r="J16" s="14"/>
      <c r="K16" s="14"/>
      <c r="L16" s="14"/>
      <c r="M16" s="14"/>
    </row>
    <row r="17" customFormat="false" ht="19.5" hidden="false" customHeight="true" outlineLevel="0" collapsed="false">
      <c r="A17" s="14"/>
      <c r="B17" s="14"/>
      <c r="C17" s="14"/>
      <c r="D17" s="14"/>
      <c r="E17" s="14"/>
      <c r="F17" s="14"/>
      <c r="G17" s="14"/>
      <c r="H17" s="14" t="str">
        <f aca="false">IF(OR(F17="",G17=""),"",F17*G17)</f>
        <v/>
      </c>
      <c r="I17" s="14"/>
      <c r="J17" s="14"/>
      <c r="K17" s="14"/>
      <c r="L17" s="14"/>
      <c r="M17" s="14"/>
    </row>
    <row r="18" customFormat="false" ht="19.5" hidden="false" customHeight="true" outlineLevel="0" collapsed="false">
      <c r="A18" s="14"/>
      <c r="B18" s="14"/>
      <c r="C18" s="14"/>
      <c r="D18" s="14"/>
      <c r="E18" s="14"/>
      <c r="F18" s="14"/>
      <c r="G18" s="14"/>
      <c r="H18" s="14" t="str">
        <f aca="false">IF(OR(F18="",G18=""),"",F18*G18)</f>
        <v/>
      </c>
      <c r="I18" s="14"/>
      <c r="J18" s="14"/>
      <c r="K18" s="14"/>
      <c r="L18" s="14"/>
      <c r="M18" s="14"/>
    </row>
    <row r="19" customFormat="false" ht="19.5" hidden="false" customHeight="true" outlineLevel="0" collapsed="false">
      <c r="A19" s="14"/>
      <c r="B19" s="14"/>
      <c r="C19" s="14"/>
      <c r="D19" s="14"/>
      <c r="E19" s="14"/>
      <c r="F19" s="14"/>
      <c r="G19" s="14"/>
      <c r="H19" s="14" t="str">
        <f aca="false">IF(OR(F19="",G19=""),"",F19*G19)</f>
        <v/>
      </c>
      <c r="I19" s="14"/>
      <c r="J19" s="14"/>
      <c r="K19" s="14"/>
      <c r="L19" s="14"/>
      <c r="M19" s="14"/>
    </row>
    <row r="20" customFormat="false" ht="19.5" hidden="false" customHeight="true" outlineLevel="0" collapsed="false">
      <c r="A20" s="14"/>
      <c r="B20" s="14"/>
      <c r="C20" s="14"/>
      <c r="D20" s="14"/>
      <c r="E20" s="14"/>
      <c r="F20" s="14"/>
      <c r="G20" s="14"/>
      <c r="H20" s="14" t="str">
        <f aca="false">IF(OR(F20="",G20=""),"",F20*G20)</f>
        <v/>
      </c>
      <c r="I20" s="14"/>
      <c r="J20" s="14"/>
      <c r="K20" s="14"/>
      <c r="L20" s="14"/>
      <c r="M20" s="14"/>
    </row>
    <row r="21" customFormat="false" ht="19.5" hidden="false" customHeight="true" outlineLevel="0" collapsed="false">
      <c r="A21" s="14"/>
      <c r="B21" s="14"/>
      <c r="C21" s="14"/>
      <c r="D21" s="14"/>
      <c r="E21" s="14"/>
      <c r="F21" s="14"/>
      <c r="G21" s="14"/>
      <c r="H21" s="14" t="str">
        <f aca="false">IF(OR(F21="",G21=""),"",F21*G21)</f>
        <v/>
      </c>
      <c r="I21" s="14"/>
      <c r="J21" s="14"/>
      <c r="K21" s="14"/>
      <c r="L21" s="14"/>
      <c r="M21" s="14"/>
    </row>
    <row r="22" customFormat="false" ht="19.5" hidden="false" customHeight="true" outlineLevel="0" collapsed="false">
      <c r="A22" s="14"/>
      <c r="B22" s="14"/>
      <c r="C22" s="14"/>
      <c r="D22" s="14"/>
      <c r="E22" s="14"/>
      <c r="F22" s="14"/>
      <c r="G22" s="14"/>
      <c r="H22" s="14" t="str">
        <f aca="false">IF(OR(F22="",G22=""),"",F22*G22)</f>
        <v/>
      </c>
      <c r="I22" s="14"/>
      <c r="J22" s="14"/>
      <c r="K22" s="14"/>
      <c r="L22" s="14"/>
      <c r="M22" s="14"/>
    </row>
    <row r="23" customFormat="false" ht="19.5" hidden="false" customHeight="true" outlineLevel="0" collapsed="false">
      <c r="A23" s="14"/>
      <c r="B23" s="14"/>
      <c r="C23" s="14"/>
      <c r="D23" s="14"/>
      <c r="E23" s="14"/>
      <c r="F23" s="14"/>
      <c r="G23" s="14"/>
      <c r="H23" s="14" t="str">
        <f aca="false">IF(OR(F23="",G23=""),"",F23*G23)</f>
        <v/>
      </c>
      <c r="I23" s="14"/>
      <c r="J23" s="14"/>
      <c r="K23" s="14"/>
      <c r="L23" s="14"/>
      <c r="M23" s="14"/>
    </row>
    <row r="24" customFormat="false" ht="19.5" hidden="false" customHeight="true" outlineLevel="0" collapsed="false">
      <c r="A24" s="14"/>
      <c r="B24" s="14"/>
      <c r="C24" s="14"/>
      <c r="D24" s="14"/>
      <c r="E24" s="14"/>
      <c r="F24" s="14"/>
      <c r="G24" s="14"/>
      <c r="H24" s="14" t="str">
        <f aca="false">IF(OR(F24="",G24=""),"",F24*G24)</f>
        <v/>
      </c>
      <c r="I24" s="14"/>
      <c r="J24" s="14"/>
      <c r="K24" s="14"/>
      <c r="L24" s="14"/>
      <c r="M24" s="14"/>
    </row>
    <row r="25" customFormat="false" ht="19.5" hidden="false" customHeight="true" outlineLevel="0" collapsed="false">
      <c r="A25" s="14"/>
      <c r="B25" s="14"/>
      <c r="C25" s="14"/>
      <c r="D25" s="14"/>
      <c r="E25" s="14"/>
      <c r="F25" s="14"/>
      <c r="G25" s="14"/>
      <c r="H25" s="14" t="str">
        <f aca="false">IF(OR(F25="",G25=""),"",F25*G25)</f>
        <v/>
      </c>
      <c r="I25" s="14"/>
      <c r="J25" s="14"/>
      <c r="K25" s="14"/>
      <c r="L25" s="14"/>
      <c r="M25" s="14"/>
    </row>
    <row r="26" customFormat="false" ht="19.5" hidden="false" customHeight="true" outlineLevel="0" collapsed="false">
      <c r="A26" s="14"/>
      <c r="B26" s="14"/>
      <c r="C26" s="14"/>
      <c r="D26" s="14"/>
      <c r="E26" s="14"/>
      <c r="F26" s="14"/>
      <c r="G26" s="14"/>
      <c r="H26" s="14" t="str">
        <f aca="false">IF(OR(F26="",G26=""),"",F26*G26)</f>
        <v/>
      </c>
      <c r="I26" s="14"/>
      <c r="J26" s="14"/>
      <c r="K26" s="14"/>
      <c r="L26" s="14"/>
      <c r="M26" s="14"/>
    </row>
    <row r="27" customFormat="false" ht="19.5" hidden="false" customHeight="true" outlineLevel="0" collapsed="false">
      <c r="A27" s="14"/>
      <c r="B27" s="14"/>
      <c r="C27" s="14"/>
      <c r="D27" s="14"/>
      <c r="E27" s="14"/>
      <c r="F27" s="14"/>
      <c r="G27" s="14"/>
      <c r="H27" s="14" t="str">
        <f aca="false">IF(OR(F27="",G27=""),"",F27*G27)</f>
        <v/>
      </c>
      <c r="I27" s="14"/>
      <c r="J27" s="14"/>
      <c r="K27" s="14"/>
      <c r="L27" s="14"/>
      <c r="M27" s="14"/>
    </row>
    <row r="28" customFormat="false" ht="19.5" hidden="false" customHeight="true" outlineLevel="0" collapsed="false">
      <c r="A28" s="14"/>
      <c r="B28" s="14"/>
      <c r="C28" s="14"/>
      <c r="D28" s="14"/>
      <c r="E28" s="14"/>
      <c r="F28" s="14"/>
      <c r="G28" s="14"/>
      <c r="H28" s="14" t="str">
        <f aca="false">IF(OR(F28="",G28=""),"",F28*G28)</f>
        <v/>
      </c>
      <c r="I28" s="14"/>
      <c r="J28" s="14"/>
      <c r="K28" s="14"/>
      <c r="L28" s="14"/>
      <c r="M28" s="14"/>
    </row>
    <row r="29" customFormat="false" ht="19.5" hidden="false" customHeight="true" outlineLevel="0" collapsed="false">
      <c r="A29" s="14"/>
      <c r="B29" s="14"/>
      <c r="C29" s="14"/>
      <c r="D29" s="14"/>
      <c r="E29" s="14"/>
      <c r="F29" s="14"/>
      <c r="G29" s="14"/>
      <c r="H29" s="14" t="str">
        <f aca="false">IF(OR(F29="",G29=""),"",F29*G29)</f>
        <v/>
      </c>
      <c r="I29" s="14"/>
      <c r="J29" s="14"/>
      <c r="K29" s="14"/>
      <c r="L29" s="14"/>
      <c r="M29" s="14"/>
    </row>
  </sheetData>
  <mergeCells count="2">
    <mergeCell ref="A1:M1"/>
    <mergeCell ref="A2:M2"/>
  </mergeCells>
  <dataValidations count="2">
    <dataValidation allowBlank="true" errorStyle="stop" operator="between" showDropDown="false" showErrorMessage="false" showInputMessage="false" sqref="I5:I29" type="list">
      <formula1>"Critical,High,Medium,Low"</formula1>
      <formula2>0</formula2>
    </dataValidation>
    <dataValidation allowBlank="true" errorStyle="stop" operator="between" showDropDown="false" showErrorMessage="false" showInputMessage="false" sqref="M5:M29" type="list">
      <formula1>"Open,In Progress,Remediated - Pending Verification,Closed - Verified,Accepted Risk"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5"/>
    <col collapsed="false" customWidth="true" hidden="false" outlineLevel="0" max="4" min="3" style="0" width="22"/>
  </cols>
  <sheetData>
    <row r="1" customFormat="false" ht="27.75" hidden="false" customHeight="true" outlineLevel="0" collapsed="false">
      <c r="A1" s="1" t="s">
        <v>288</v>
      </c>
      <c r="B1" s="1"/>
      <c r="C1" s="1"/>
      <c r="D1" s="1"/>
    </row>
    <row r="2" customFormat="false" ht="18" hidden="false" customHeight="true" outlineLevel="0" collapsed="false">
      <c r="A2" s="2" t="s">
        <v>289</v>
      </c>
      <c r="B2" s="2"/>
      <c r="C2" s="2"/>
      <c r="D2" s="2"/>
    </row>
    <row r="4" customFormat="false" ht="21.75" hidden="false" customHeight="true" outlineLevel="0" collapsed="false">
      <c r="A4" s="16" t="s">
        <v>290</v>
      </c>
      <c r="B4" s="16"/>
      <c r="C4" s="16"/>
      <c r="D4" s="16"/>
    </row>
    <row r="5" customFormat="false" ht="15" hidden="false" customHeight="false" outlineLevel="0" collapsed="false">
      <c r="A5" s="17" t="s">
        <v>68</v>
      </c>
      <c r="B5" s="17"/>
      <c r="C5" s="17" t="s">
        <v>69</v>
      </c>
      <c r="D5" s="17"/>
    </row>
    <row r="6" customFormat="false" ht="23.85" hidden="false" customHeight="false" outlineLevel="0" collapsed="false">
      <c r="A6" s="17" t="s">
        <v>291</v>
      </c>
      <c r="B6" s="17"/>
      <c r="C6" s="17" t="s">
        <v>292</v>
      </c>
      <c r="D6" s="17"/>
    </row>
    <row r="7" customFormat="false" ht="19.5" hidden="false" customHeight="true" outlineLevel="0" collapsed="false">
      <c r="A7" s="14"/>
      <c r="B7" s="14"/>
      <c r="C7" s="14"/>
      <c r="D7" s="14"/>
    </row>
    <row r="8" customFormat="false" ht="19.5" hidden="false" customHeight="true" outlineLevel="0" collapsed="false">
      <c r="A8" s="14"/>
      <c r="B8" s="14"/>
      <c r="C8" s="14"/>
      <c r="D8" s="14"/>
    </row>
    <row r="9" customFormat="false" ht="19.5" hidden="false" customHeight="true" outlineLevel="0" collapsed="false">
      <c r="A9" s="14"/>
      <c r="B9" s="14"/>
      <c r="C9" s="14"/>
      <c r="D9" s="14"/>
    </row>
    <row r="10" customFormat="false" ht="19.5" hidden="false" customHeight="true" outlineLevel="0" collapsed="false">
      <c r="A10" s="14"/>
      <c r="B10" s="14"/>
      <c r="C10" s="14"/>
      <c r="D10" s="14"/>
    </row>
    <row r="11" customFormat="false" ht="15" hidden="false" customHeight="false" outlineLevel="0" collapsed="false">
      <c r="A11" s="18" t="s">
        <v>293</v>
      </c>
      <c r="B11" s="18"/>
      <c r="C11" s="18"/>
      <c r="D11" s="18"/>
    </row>
    <row r="12" customFormat="false" ht="18" hidden="false" customHeight="true" outlineLevel="0" collapsed="false">
      <c r="A12" s="19" t="s">
        <v>294</v>
      </c>
      <c r="B12" s="20" t="s">
        <v>295</v>
      </c>
      <c r="C12" s="20"/>
      <c r="D12" s="20"/>
    </row>
    <row r="13" customFormat="false" ht="18" hidden="false" customHeight="true" outlineLevel="0" collapsed="false">
      <c r="A13" s="19" t="s">
        <v>294</v>
      </c>
      <c r="B13" s="20" t="s">
        <v>296</v>
      </c>
      <c r="C13" s="20"/>
      <c r="D13" s="20"/>
    </row>
    <row r="14" customFormat="false" ht="18" hidden="false" customHeight="true" outlineLevel="0" collapsed="false">
      <c r="A14" s="19" t="s">
        <v>294</v>
      </c>
      <c r="B14" s="20" t="s">
        <v>297</v>
      </c>
      <c r="C14" s="20"/>
      <c r="D14" s="20"/>
    </row>
    <row r="15" customFormat="false" ht="18" hidden="false" customHeight="true" outlineLevel="0" collapsed="false">
      <c r="A15" s="19" t="s">
        <v>294</v>
      </c>
      <c r="B15" s="20" t="s">
        <v>298</v>
      </c>
      <c r="C15" s="20"/>
      <c r="D15" s="20"/>
    </row>
    <row r="16" customFormat="false" ht="18" hidden="false" customHeight="true" outlineLevel="0" collapsed="false">
      <c r="A16" s="19" t="s">
        <v>294</v>
      </c>
      <c r="B16" s="20" t="s">
        <v>299</v>
      </c>
      <c r="C16" s="20"/>
      <c r="D16" s="20"/>
    </row>
    <row r="17" customFormat="false" ht="18" hidden="false" customHeight="true" outlineLevel="0" collapsed="false">
      <c r="A17" s="19" t="s">
        <v>294</v>
      </c>
      <c r="B17" s="20" t="s">
        <v>300</v>
      </c>
      <c r="C17" s="20"/>
      <c r="D17" s="20"/>
    </row>
    <row r="18" customFormat="false" ht="15" hidden="false" customHeight="false" outlineLevel="0" collapsed="false">
      <c r="A18" s="18" t="s">
        <v>301</v>
      </c>
      <c r="B18" s="18"/>
      <c r="C18" s="18"/>
      <c r="D18" s="18"/>
    </row>
    <row r="19" customFormat="false" ht="19.5" hidden="false" customHeight="true" outlineLevel="0" collapsed="false">
      <c r="A19" s="14"/>
      <c r="B19" s="14"/>
      <c r="C19" s="14"/>
      <c r="D19" s="14"/>
    </row>
    <row r="20" customFormat="false" ht="19.5" hidden="false" customHeight="true" outlineLevel="0" collapsed="false">
      <c r="A20" s="14"/>
      <c r="B20" s="14"/>
      <c r="C20" s="14"/>
      <c r="D20" s="14"/>
    </row>
    <row r="21" customFormat="false" ht="19.5" hidden="false" customHeight="true" outlineLevel="0" collapsed="false">
      <c r="A21" s="14"/>
      <c r="B21" s="14"/>
      <c r="C21" s="14"/>
      <c r="D21" s="14"/>
    </row>
    <row r="22" customFormat="false" ht="23.85" hidden="false" customHeight="false" outlineLevel="0" collapsed="false">
      <c r="A22" s="17" t="s">
        <v>302</v>
      </c>
      <c r="B22" s="17"/>
      <c r="C22" s="17" t="s">
        <v>303</v>
      </c>
      <c r="D22" s="17"/>
    </row>
    <row r="24" customFormat="false" ht="21.75" hidden="false" customHeight="true" outlineLevel="0" collapsed="false">
      <c r="A24" s="16" t="s">
        <v>304</v>
      </c>
      <c r="B24" s="16"/>
      <c r="C24" s="16"/>
      <c r="D24" s="16"/>
    </row>
    <row r="25" customFormat="false" ht="15" hidden="false" customHeight="false" outlineLevel="0" collapsed="false">
      <c r="A25" s="17" t="s">
        <v>68</v>
      </c>
      <c r="B25" s="17"/>
      <c r="C25" s="17" t="s">
        <v>69</v>
      </c>
      <c r="D25" s="17"/>
    </row>
    <row r="26" customFormat="false" ht="23.85" hidden="false" customHeight="false" outlineLevel="0" collapsed="false">
      <c r="A26" s="17" t="s">
        <v>291</v>
      </c>
      <c r="B26" s="17"/>
      <c r="C26" s="17" t="s">
        <v>292</v>
      </c>
      <c r="D26" s="17"/>
    </row>
    <row r="27" customFormat="false" ht="19.5" hidden="false" customHeight="true" outlineLevel="0" collapsed="false">
      <c r="A27" s="14"/>
      <c r="B27" s="14"/>
      <c r="C27" s="14"/>
      <c r="D27" s="14"/>
    </row>
    <row r="28" customFormat="false" ht="19.5" hidden="false" customHeight="true" outlineLevel="0" collapsed="false">
      <c r="A28" s="14"/>
      <c r="B28" s="14"/>
      <c r="C28" s="14"/>
      <c r="D28" s="14"/>
    </row>
    <row r="29" customFormat="false" ht="19.5" hidden="false" customHeight="true" outlineLevel="0" collapsed="false">
      <c r="A29" s="14"/>
      <c r="B29" s="14"/>
      <c r="C29" s="14"/>
      <c r="D29" s="14"/>
    </row>
    <row r="30" customFormat="false" ht="19.5" hidden="false" customHeight="true" outlineLevel="0" collapsed="false">
      <c r="A30" s="14"/>
      <c r="B30" s="14"/>
      <c r="C30" s="14"/>
      <c r="D30" s="14"/>
    </row>
    <row r="31" customFormat="false" ht="15" hidden="false" customHeight="false" outlineLevel="0" collapsed="false">
      <c r="A31" s="18" t="s">
        <v>293</v>
      </c>
      <c r="B31" s="18"/>
      <c r="C31" s="18"/>
      <c r="D31" s="18"/>
    </row>
    <row r="32" customFormat="false" ht="18" hidden="false" customHeight="true" outlineLevel="0" collapsed="false">
      <c r="A32" s="19" t="s">
        <v>294</v>
      </c>
      <c r="B32" s="20" t="s">
        <v>305</v>
      </c>
      <c r="C32" s="20"/>
      <c r="D32" s="20"/>
    </row>
    <row r="33" customFormat="false" ht="18" hidden="false" customHeight="true" outlineLevel="0" collapsed="false">
      <c r="A33" s="19" t="s">
        <v>294</v>
      </c>
      <c r="B33" s="20" t="s">
        <v>306</v>
      </c>
      <c r="C33" s="20"/>
      <c r="D33" s="20"/>
    </row>
    <row r="34" customFormat="false" ht="18" hidden="false" customHeight="true" outlineLevel="0" collapsed="false">
      <c r="A34" s="19" t="s">
        <v>294</v>
      </c>
      <c r="B34" s="20" t="s">
        <v>307</v>
      </c>
      <c r="C34" s="20"/>
      <c r="D34" s="20"/>
    </row>
    <row r="35" customFormat="false" ht="18" hidden="false" customHeight="true" outlineLevel="0" collapsed="false">
      <c r="A35" s="19" t="s">
        <v>294</v>
      </c>
      <c r="B35" s="20" t="s">
        <v>308</v>
      </c>
      <c r="C35" s="20"/>
      <c r="D35" s="20"/>
    </row>
    <row r="36" customFormat="false" ht="18" hidden="false" customHeight="true" outlineLevel="0" collapsed="false">
      <c r="A36" s="19" t="s">
        <v>294</v>
      </c>
      <c r="B36" s="20" t="s">
        <v>309</v>
      </c>
      <c r="C36" s="20"/>
      <c r="D36" s="20"/>
    </row>
    <row r="37" customFormat="false" ht="15" hidden="false" customHeight="false" outlineLevel="0" collapsed="false">
      <c r="A37" s="18" t="s">
        <v>301</v>
      </c>
      <c r="B37" s="18"/>
      <c r="C37" s="18"/>
      <c r="D37" s="18"/>
    </row>
    <row r="38" customFormat="false" ht="19.5" hidden="false" customHeight="true" outlineLevel="0" collapsed="false">
      <c r="A38" s="14"/>
      <c r="B38" s="14"/>
      <c r="C38" s="14"/>
      <c r="D38" s="14"/>
    </row>
    <row r="39" customFormat="false" ht="19.5" hidden="false" customHeight="true" outlineLevel="0" collapsed="false">
      <c r="A39" s="14"/>
      <c r="B39" s="14"/>
      <c r="C39" s="14"/>
      <c r="D39" s="14"/>
    </row>
    <row r="40" customFormat="false" ht="19.5" hidden="false" customHeight="true" outlineLevel="0" collapsed="false">
      <c r="A40" s="14"/>
      <c r="B40" s="14"/>
      <c r="C40" s="14"/>
      <c r="D40" s="14"/>
    </row>
    <row r="41" customFormat="false" ht="23.85" hidden="false" customHeight="false" outlineLevel="0" collapsed="false">
      <c r="A41" s="17" t="s">
        <v>302</v>
      </c>
      <c r="B41" s="17"/>
      <c r="C41" s="17" t="s">
        <v>303</v>
      </c>
      <c r="D41" s="17"/>
    </row>
  </sheetData>
  <mergeCells count="19">
    <mergeCell ref="A1:D1"/>
    <mergeCell ref="A2:D2"/>
    <mergeCell ref="A4:D4"/>
    <mergeCell ref="A11:D11"/>
    <mergeCell ref="B12:D12"/>
    <mergeCell ref="B13:D13"/>
    <mergeCell ref="B14:D14"/>
    <mergeCell ref="B15:D15"/>
    <mergeCell ref="B16:D16"/>
    <mergeCell ref="B17:D17"/>
    <mergeCell ref="A18:D18"/>
    <mergeCell ref="A24:D24"/>
    <mergeCell ref="A31:D31"/>
    <mergeCell ref="B32:D32"/>
    <mergeCell ref="B33:D33"/>
    <mergeCell ref="B34:D34"/>
    <mergeCell ref="B35:D35"/>
    <mergeCell ref="B36:D36"/>
    <mergeCell ref="A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0"/>
  </cols>
  <sheetData>
    <row r="1" customFormat="false" ht="27.75" hidden="false" customHeight="true" outlineLevel="0" collapsed="false">
      <c r="A1" s="1" t="s">
        <v>310</v>
      </c>
      <c r="B1" s="1"/>
    </row>
    <row r="2" customFormat="false" ht="18" hidden="false" customHeight="true" outlineLevel="0" collapsed="false">
      <c r="A2" s="2" t="s">
        <v>311</v>
      </c>
      <c r="B2" s="2"/>
    </row>
    <row r="4" customFormat="false" ht="21.75" hidden="false" customHeight="true" outlineLevel="0" collapsed="false">
      <c r="A4" s="11" t="s">
        <v>49</v>
      </c>
      <c r="B4" s="14"/>
    </row>
    <row r="5" customFormat="false" ht="21.75" hidden="false" customHeight="true" outlineLevel="0" collapsed="false">
      <c r="A5" s="11" t="s">
        <v>312</v>
      </c>
      <c r="B5" s="14"/>
    </row>
    <row r="6" customFormat="false" ht="21.75" hidden="false" customHeight="true" outlineLevel="0" collapsed="false">
      <c r="A6" s="11" t="s">
        <v>51</v>
      </c>
      <c r="B6" s="14"/>
    </row>
    <row r="7" customFormat="false" ht="21.75" hidden="false" customHeight="true" outlineLevel="0" collapsed="false">
      <c r="A7" s="11" t="s">
        <v>57</v>
      </c>
      <c r="B7" s="14"/>
    </row>
    <row r="8" customFormat="false" ht="21.75" hidden="false" customHeight="true" outlineLevel="0" collapsed="false">
      <c r="A8" s="11" t="s">
        <v>63</v>
      </c>
      <c r="B8" s="14"/>
    </row>
    <row r="9" customFormat="false" ht="21.75" hidden="false" customHeight="true" outlineLevel="0" collapsed="false">
      <c r="A9" s="11" t="s">
        <v>313</v>
      </c>
      <c r="B9" s="14"/>
    </row>
    <row r="10" customFormat="false" ht="39.75" hidden="false" customHeight="true" outlineLevel="0" collapsed="false">
      <c r="A10" s="11" t="s">
        <v>314</v>
      </c>
      <c r="B10" s="14"/>
    </row>
    <row r="11" customFormat="false" ht="21.75" hidden="false" customHeight="true" outlineLevel="0" collapsed="false">
      <c r="A11" s="11" t="s">
        <v>315</v>
      </c>
      <c r="B11" s="14"/>
    </row>
    <row r="12" customFormat="false" ht="39.75" hidden="false" customHeight="true" outlineLevel="0" collapsed="false">
      <c r="A12" s="11" t="s">
        <v>316</v>
      </c>
      <c r="B12" s="14"/>
    </row>
    <row r="13" customFormat="false" ht="39.75" hidden="false" customHeight="true" outlineLevel="0" collapsed="false">
      <c r="A13" s="11" t="s">
        <v>317</v>
      </c>
      <c r="B13" s="14"/>
    </row>
    <row r="15" customFormat="false" ht="16.15" hidden="false" customHeight="false" outlineLevel="0" collapsed="false">
      <c r="A15" s="5" t="s">
        <v>318</v>
      </c>
    </row>
    <row r="16" customFormat="false" ht="31.5" hidden="false" customHeight="true" outlineLevel="0" collapsed="false">
      <c r="A16" s="8" t="s">
        <v>241</v>
      </c>
      <c r="B16" s="8" t="s">
        <v>319</v>
      </c>
      <c r="C16" s="8" t="s">
        <v>320</v>
      </c>
    </row>
    <row r="17" customFormat="false" ht="15" hidden="false" customHeight="false" outlineLevel="0" collapsed="false">
      <c r="A17" s="14" t="s">
        <v>321</v>
      </c>
      <c r="B17" s="14"/>
      <c r="C17" s="14"/>
    </row>
    <row r="18" customFormat="false" ht="15" hidden="false" customHeight="false" outlineLevel="0" collapsed="false">
      <c r="A18" s="14" t="s">
        <v>245</v>
      </c>
      <c r="B18" s="14"/>
      <c r="C18" s="14"/>
    </row>
    <row r="19" customFormat="false" ht="15" hidden="false" customHeight="false" outlineLevel="0" collapsed="false">
      <c r="A19" s="14" t="s">
        <v>322</v>
      </c>
      <c r="B19" s="14"/>
      <c r="C19" s="14"/>
    </row>
    <row r="20" customFormat="false" ht="15" hidden="false" customHeight="false" outlineLevel="0" collapsed="false">
      <c r="A20" s="14" t="s">
        <v>323</v>
      </c>
      <c r="B20" s="14"/>
      <c r="C20" s="14"/>
    </row>
    <row r="22" customFormat="false" ht="15" hidden="false" customHeight="false" outlineLevel="0" collapsed="false">
      <c r="A22" s="17" t="s">
        <v>324</v>
      </c>
      <c r="B22" s="17"/>
    </row>
    <row r="23" customFormat="false" ht="15" hidden="false" customHeight="false" outlineLevel="0" collapsed="false">
      <c r="A23" s="17" t="s">
        <v>325</v>
      </c>
      <c r="B23" s="17"/>
    </row>
    <row r="25" customFormat="false" ht="39.75" hidden="false" customHeight="true" outlineLevel="0" collapsed="false">
      <c r="A25" s="21" t="s">
        <v>326</v>
      </c>
      <c r="B25" s="21"/>
    </row>
  </sheetData>
  <mergeCells count="3">
    <mergeCell ref="A1:B1"/>
    <mergeCell ref="A2:B2"/>
    <mergeCell ref="A25:B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4" min="3" style="0" width="34"/>
    <col collapsed="false" customWidth="true" hidden="false" outlineLevel="0" max="5" min="5" style="0" width="16"/>
    <col collapsed="false" customWidth="true" hidden="false" outlineLevel="0" max="7" min="6" style="0" width="14"/>
    <col collapsed="false" customWidth="true" hidden="false" outlineLevel="0" max="8" min="8" style="0" width="10"/>
    <col collapsed="false" customWidth="true" hidden="false" outlineLevel="0" max="9" min="9" style="0" width="16"/>
    <col collapsed="false" customWidth="true" hidden="false" outlineLevel="0" max="10" min="10" style="0" width="30"/>
  </cols>
  <sheetData>
    <row r="1" customFormat="false" ht="27.75" hidden="false" customHeight="true" outlineLevel="0" collapsed="false">
      <c r="A1" s="1" t="s">
        <v>327</v>
      </c>
      <c r="B1" s="1"/>
      <c r="C1" s="1"/>
      <c r="D1" s="1"/>
      <c r="E1" s="1"/>
      <c r="F1" s="1"/>
      <c r="G1" s="1"/>
      <c r="H1" s="1"/>
      <c r="I1" s="1"/>
      <c r="J1" s="1"/>
    </row>
    <row r="2" customFormat="false" ht="18" hidden="false" customHeight="true" outlineLevel="0" collapsed="false">
      <c r="A2" s="2" t="s">
        <v>328</v>
      </c>
      <c r="B2" s="2"/>
      <c r="C2" s="2"/>
      <c r="D2" s="2"/>
      <c r="E2" s="2"/>
      <c r="F2" s="2"/>
      <c r="G2" s="2"/>
      <c r="H2" s="2"/>
      <c r="I2" s="2"/>
      <c r="J2" s="2"/>
    </row>
    <row r="4" customFormat="false" ht="31.5" hidden="false" customHeight="true" outlineLevel="0" collapsed="false">
      <c r="A4" s="8" t="s">
        <v>329</v>
      </c>
      <c r="B4" s="8" t="s">
        <v>330</v>
      </c>
      <c r="C4" s="8" t="s">
        <v>331</v>
      </c>
      <c r="D4" s="8" t="s">
        <v>332</v>
      </c>
      <c r="E4" s="8" t="s">
        <v>244</v>
      </c>
      <c r="F4" s="8" t="s">
        <v>333</v>
      </c>
      <c r="G4" s="8" t="s">
        <v>334</v>
      </c>
      <c r="H4" s="8" t="s">
        <v>335</v>
      </c>
      <c r="I4" s="8" t="s">
        <v>279</v>
      </c>
      <c r="J4" s="8" t="s">
        <v>336</v>
      </c>
    </row>
    <row r="5" customFormat="false" ht="23.85" hidden="false" customHeight="false" outlineLevel="0" collapsed="false">
      <c r="A5" s="13" t="s">
        <v>280</v>
      </c>
      <c r="B5" s="13" t="s">
        <v>161</v>
      </c>
      <c r="C5" s="13" t="s">
        <v>337</v>
      </c>
      <c r="D5" s="13" t="s">
        <v>338</v>
      </c>
      <c r="E5" s="13" t="s">
        <v>285</v>
      </c>
      <c r="F5" s="13" t="s">
        <v>339</v>
      </c>
      <c r="G5" s="13" t="s">
        <v>286</v>
      </c>
      <c r="H5" s="13" t="n">
        <v>40</v>
      </c>
      <c r="I5" s="13" t="s">
        <v>340</v>
      </c>
      <c r="J5" s="13" t="s">
        <v>341</v>
      </c>
    </row>
    <row r="6" customFormat="false" ht="19.5" hidden="false" customHeight="true" outlineLevel="0" collapsed="false">
      <c r="A6" s="14"/>
      <c r="B6" s="14"/>
      <c r="C6" s="14"/>
      <c r="D6" s="14"/>
      <c r="E6" s="14"/>
      <c r="F6" s="14"/>
      <c r="G6" s="14"/>
      <c r="H6" s="14"/>
      <c r="I6" s="14"/>
      <c r="J6" s="14"/>
    </row>
    <row r="7" customFormat="false" ht="19.5" hidden="false" customHeight="true" outlineLevel="0" collapsed="false">
      <c r="A7" s="14"/>
      <c r="B7" s="14"/>
      <c r="C7" s="14"/>
      <c r="D7" s="14"/>
      <c r="E7" s="14"/>
      <c r="F7" s="14"/>
      <c r="G7" s="14"/>
      <c r="H7" s="14"/>
      <c r="I7" s="14"/>
      <c r="J7" s="14"/>
    </row>
    <row r="8" customFormat="false" ht="19.5" hidden="false" customHeight="true" outlineLevel="0" collapsed="false">
      <c r="A8" s="14"/>
      <c r="B8" s="14"/>
      <c r="C8" s="14"/>
      <c r="D8" s="14"/>
      <c r="E8" s="14"/>
      <c r="F8" s="14"/>
      <c r="G8" s="14"/>
      <c r="H8" s="14"/>
      <c r="I8" s="14"/>
      <c r="J8" s="14"/>
    </row>
    <row r="9" customFormat="false" ht="19.5" hidden="false" customHeight="true" outlineLevel="0" collapsed="false">
      <c r="A9" s="14"/>
      <c r="B9" s="14"/>
      <c r="C9" s="14"/>
      <c r="D9" s="14"/>
      <c r="E9" s="14"/>
      <c r="F9" s="14"/>
      <c r="G9" s="14"/>
      <c r="H9" s="14"/>
      <c r="I9" s="14"/>
      <c r="J9" s="14"/>
    </row>
    <row r="10" customFormat="false" ht="19.5" hidden="false" customHeight="true" outlineLevel="0" collapsed="false">
      <c r="A10" s="14"/>
      <c r="B10" s="14"/>
      <c r="C10" s="14"/>
      <c r="D10" s="14"/>
      <c r="E10" s="14"/>
      <c r="F10" s="14"/>
      <c r="G10" s="14"/>
      <c r="H10" s="14"/>
      <c r="I10" s="14"/>
      <c r="J10" s="14"/>
    </row>
    <row r="11" customFormat="false" ht="19.5" hidden="false" customHeight="true" outlineLevel="0" collapsed="false">
      <c r="A11" s="14"/>
      <c r="B11" s="14"/>
      <c r="C11" s="14"/>
      <c r="D11" s="14"/>
      <c r="E11" s="14"/>
      <c r="F11" s="14"/>
      <c r="G11" s="14"/>
      <c r="H11" s="14"/>
      <c r="I11" s="14"/>
      <c r="J11" s="14"/>
    </row>
    <row r="12" customFormat="false" ht="19.5" hidden="false" customHeight="true" outlineLevel="0" collapsed="false">
      <c r="A12" s="14"/>
      <c r="B12" s="14"/>
      <c r="C12" s="14"/>
      <c r="D12" s="14"/>
      <c r="E12" s="14"/>
      <c r="F12" s="14"/>
      <c r="G12" s="14"/>
      <c r="H12" s="14"/>
      <c r="I12" s="14"/>
      <c r="J12" s="14"/>
    </row>
    <row r="13" customFormat="false" ht="19.5" hidden="false" customHeight="true" outlineLevel="0" collapsed="false">
      <c r="A13" s="14"/>
      <c r="B13" s="14"/>
      <c r="C13" s="14"/>
      <c r="D13" s="14"/>
      <c r="E13" s="14"/>
      <c r="F13" s="14"/>
      <c r="G13" s="14"/>
      <c r="H13" s="14"/>
      <c r="I13" s="14"/>
      <c r="J13" s="14"/>
    </row>
    <row r="14" customFormat="false" ht="19.5" hidden="false" customHeight="true" outlineLevel="0" collapsed="false">
      <c r="A14" s="14"/>
      <c r="B14" s="14"/>
      <c r="C14" s="14"/>
      <c r="D14" s="14"/>
      <c r="E14" s="14"/>
      <c r="F14" s="14"/>
      <c r="G14" s="14"/>
      <c r="H14" s="14"/>
      <c r="I14" s="14"/>
      <c r="J14" s="14"/>
    </row>
    <row r="15" customFormat="false" ht="19.5" hidden="false" customHeight="true" outlineLevel="0" collapsed="false">
      <c r="A15" s="14"/>
      <c r="B15" s="14"/>
      <c r="C15" s="14"/>
      <c r="D15" s="14"/>
      <c r="E15" s="14"/>
      <c r="F15" s="14"/>
      <c r="G15" s="14"/>
      <c r="H15" s="14"/>
      <c r="I15" s="14"/>
      <c r="J15" s="14"/>
    </row>
    <row r="16" customFormat="false" ht="19.5" hidden="false" customHeight="true" outlineLevel="0" collapsed="false">
      <c r="A16" s="14"/>
      <c r="B16" s="14"/>
      <c r="C16" s="14"/>
      <c r="D16" s="14"/>
      <c r="E16" s="14"/>
      <c r="F16" s="14"/>
      <c r="G16" s="14"/>
      <c r="H16" s="14"/>
      <c r="I16" s="14"/>
      <c r="J16" s="14"/>
    </row>
    <row r="17" customFormat="false" ht="19.5" hidden="false" customHeight="true" outlineLevel="0" collapsed="false">
      <c r="A17" s="14"/>
      <c r="B17" s="14"/>
      <c r="C17" s="14"/>
      <c r="D17" s="14"/>
      <c r="E17" s="14"/>
      <c r="F17" s="14"/>
      <c r="G17" s="14"/>
      <c r="H17" s="14"/>
      <c r="I17" s="14"/>
      <c r="J17" s="14"/>
    </row>
    <row r="18" customFormat="false" ht="19.5" hidden="false" customHeight="true" outlineLevel="0" collapsed="false">
      <c r="A18" s="14"/>
      <c r="B18" s="14"/>
      <c r="C18" s="14"/>
      <c r="D18" s="14"/>
      <c r="E18" s="14"/>
      <c r="F18" s="14"/>
      <c r="G18" s="14"/>
      <c r="H18" s="14"/>
      <c r="I18" s="14"/>
      <c r="J18" s="14"/>
    </row>
    <row r="19" customFormat="false" ht="19.5" hidden="false" customHeight="true" outlineLevel="0" collapsed="false">
      <c r="A19" s="14"/>
      <c r="B19" s="14"/>
      <c r="C19" s="14"/>
      <c r="D19" s="14"/>
      <c r="E19" s="14"/>
      <c r="F19" s="14"/>
      <c r="G19" s="14"/>
      <c r="H19" s="14"/>
      <c r="I19" s="14"/>
      <c r="J19" s="14"/>
    </row>
    <row r="20" customFormat="false" ht="19.5" hidden="false" customHeight="true" outlineLevel="0" collapsed="false">
      <c r="A20" s="14"/>
      <c r="B20" s="14"/>
      <c r="C20" s="14"/>
      <c r="D20" s="14"/>
      <c r="E20" s="14"/>
      <c r="F20" s="14"/>
      <c r="G20" s="14"/>
      <c r="H20" s="14"/>
      <c r="I20" s="14"/>
      <c r="J20" s="14"/>
    </row>
    <row r="21" customFormat="false" ht="19.5" hidden="false" customHeight="true" outlineLevel="0" collapsed="false">
      <c r="A21" s="14"/>
      <c r="B21" s="14"/>
      <c r="C21" s="14"/>
      <c r="D21" s="14"/>
      <c r="E21" s="14"/>
      <c r="F21" s="14"/>
      <c r="G21" s="14"/>
      <c r="H21" s="14"/>
      <c r="I21" s="14"/>
      <c r="J21" s="14"/>
    </row>
    <row r="22" customFormat="false" ht="19.5" hidden="false" customHeight="true" outlineLevel="0" collapsed="false">
      <c r="A22" s="14"/>
      <c r="B22" s="14"/>
      <c r="C22" s="14"/>
      <c r="D22" s="14"/>
      <c r="E22" s="14"/>
      <c r="F22" s="14"/>
      <c r="G22" s="14"/>
      <c r="H22" s="14"/>
      <c r="I22" s="14"/>
      <c r="J22" s="14"/>
    </row>
    <row r="23" customFormat="false" ht="19.5" hidden="false" customHeight="true" outlineLevel="0" collapsed="false">
      <c r="A23" s="14"/>
      <c r="B23" s="14"/>
      <c r="C23" s="14"/>
      <c r="D23" s="14"/>
      <c r="E23" s="14"/>
      <c r="F23" s="14"/>
      <c r="G23" s="14"/>
      <c r="H23" s="14"/>
      <c r="I23" s="14"/>
      <c r="J23" s="14"/>
    </row>
    <row r="24" customFormat="false" ht="19.5" hidden="false" customHeight="true" outlineLevel="0" collapsed="false">
      <c r="A24" s="14"/>
      <c r="B24" s="14"/>
      <c r="C24" s="14"/>
      <c r="D24" s="14"/>
      <c r="E24" s="14"/>
      <c r="F24" s="14"/>
      <c r="G24" s="14"/>
      <c r="H24" s="14"/>
      <c r="I24" s="14"/>
      <c r="J24" s="14"/>
    </row>
    <row r="25" customFormat="false" ht="19.5" hidden="false" customHeight="true" outlineLevel="0" collapsed="false">
      <c r="A25" s="14"/>
      <c r="B25" s="14"/>
      <c r="C25" s="14"/>
      <c r="D25" s="14"/>
      <c r="E25" s="14"/>
      <c r="F25" s="14"/>
      <c r="G25" s="14"/>
      <c r="H25" s="14"/>
      <c r="I25" s="14"/>
      <c r="J25" s="14"/>
    </row>
    <row r="26" customFormat="false" ht="19.5" hidden="false" customHeight="true" outlineLevel="0" collapsed="false">
      <c r="A26" s="14"/>
      <c r="B26" s="14"/>
      <c r="C26" s="14"/>
      <c r="D26" s="14"/>
      <c r="E26" s="14"/>
      <c r="F26" s="14"/>
      <c r="G26" s="14"/>
      <c r="H26" s="14"/>
      <c r="I26" s="14"/>
      <c r="J26" s="14"/>
    </row>
    <row r="27" customFormat="false" ht="19.5" hidden="false" customHeight="true" outlineLevel="0" collapsed="false">
      <c r="A27" s="14"/>
      <c r="B27" s="14"/>
      <c r="C27" s="14"/>
      <c r="D27" s="14"/>
      <c r="E27" s="14"/>
      <c r="F27" s="14"/>
      <c r="G27" s="14"/>
      <c r="H27" s="14"/>
      <c r="I27" s="14"/>
      <c r="J27" s="14"/>
    </row>
    <row r="28" customFormat="false" ht="19.5" hidden="false" customHeight="true" outlineLevel="0" collapsed="false">
      <c r="A28" s="14"/>
      <c r="B28" s="14"/>
      <c r="C28" s="14"/>
      <c r="D28" s="14"/>
      <c r="E28" s="14"/>
      <c r="F28" s="14"/>
      <c r="G28" s="14"/>
      <c r="H28" s="14"/>
      <c r="I28" s="14"/>
      <c r="J28" s="14"/>
    </row>
    <row r="29" customFormat="false" ht="19.5" hidden="false" customHeight="true" outlineLevel="0" collapsed="false">
      <c r="A29" s="14"/>
      <c r="B29" s="14"/>
      <c r="C29" s="14"/>
      <c r="D29" s="14"/>
      <c r="E29" s="14"/>
      <c r="F29" s="14"/>
      <c r="G29" s="14"/>
      <c r="H29" s="14"/>
      <c r="I29" s="14"/>
      <c r="J29" s="14"/>
    </row>
  </sheetData>
  <mergeCells count="2">
    <mergeCell ref="A1:J1"/>
    <mergeCell ref="A2:J2"/>
  </mergeCells>
  <dataValidations count="1">
    <dataValidation allowBlank="true" errorStyle="stop" operator="between" showDropDown="false" showErrorMessage="false" showInputMessage="false" sqref="I5:I29" type="list">
      <formula1>"Not Started,In Progress,Completed - Pending Verification,Verified Complete,Blocked"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20"/>
    <col collapsed="false" customWidth="true" hidden="false" outlineLevel="0" max="4" min="4" style="0" width="34"/>
    <col collapsed="false" customWidth="true" hidden="false" outlineLevel="0" max="6" min="5" style="0" width="10"/>
    <col collapsed="false" customWidth="true" hidden="false" outlineLevel="0" max="7" min="7" style="0" width="12"/>
    <col collapsed="false" customWidth="true" hidden="false" outlineLevel="0" max="8" min="8" style="0" width="26"/>
    <col collapsed="false" customWidth="true" hidden="false" outlineLevel="0" max="9" min="9" style="0" width="12"/>
    <col collapsed="false" customWidth="true" hidden="false" outlineLevel="0" max="11" min="10" style="0" width="16"/>
  </cols>
  <sheetData>
    <row r="1" customFormat="false" ht="27.75" hidden="false" customHeight="true" outlineLevel="0" collapsed="false">
      <c r="A1" s="1" t="s">
        <v>342</v>
      </c>
      <c r="B1" s="1"/>
      <c r="C1" s="1"/>
      <c r="D1" s="1"/>
      <c r="E1" s="1"/>
      <c r="F1" s="1"/>
      <c r="G1" s="1"/>
      <c r="H1" s="1"/>
      <c r="I1" s="1"/>
      <c r="J1" s="1"/>
      <c r="K1" s="1"/>
    </row>
    <row r="2" customFormat="false" ht="18" hidden="false" customHeight="true" outlineLevel="0" collapsed="false">
      <c r="A2" s="2" t="s">
        <v>343</v>
      </c>
      <c r="B2" s="2"/>
      <c r="C2" s="2"/>
      <c r="D2" s="2"/>
      <c r="E2" s="2"/>
      <c r="F2" s="2"/>
      <c r="G2" s="2"/>
      <c r="H2" s="2"/>
      <c r="I2" s="2"/>
      <c r="J2" s="2"/>
      <c r="K2" s="2"/>
    </row>
    <row r="4" customFormat="false" ht="31.5" hidden="false" customHeight="true" outlineLevel="0" collapsed="false">
      <c r="A4" s="8" t="s">
        <v>344</v>
      </c>
      <c r="B4" s="8" t="s">
        <v>345</v>
      </c>
      <c r="C4" s="8" t="s">
        <v>346</v>
      </c>
      <c r="D4" s="8" t="s">
        <v>347</v>
      </c>
      <c r="E4" s="8" t="s">
        <v>276</v>
      </c>
      <c r="F4" s="8" t="s">
        <v>277</v>
      </c>
      <c r="G4" s="8" t="s">
        <v>348</v>
      </c>
      <c r="H4" s="8" t="s">
        <v>349</v>
      </c>
      <c r="I4" s="8" t="s">
        <v>350</v>
      </c>
      <c r="J4" s="8" t="s">
        <v>244</v>
      </c>
      <c r="K4" s="8" t="s">
        <v>351</v>
      </c>
    </row>
    <row r="5" customFormat="false" ht="35.05" hidden="false" customHeight="false" outlineLevel="0" collapsed="false">
      <c r="A5" s="13" t="s">
        <v>352</v>
      </c>
      <c r="B5" s="13" t="s">
        <v>353</v>
      </c>
      <c r="C5" s="13" t="s">
        <v>354</v>
      </c>
      <c r="D5" s="13" t="s">
        <v>355</v>
      </c>
      <c r="E5" s="13" t="n">
        <v>4</v>
      </c>
      <c r="F5" s="13" t="n">
        <v>5</v>
      </c>
      <c r="G5" s="13" t="n">
        <f aca="false">E5*F5</f>
        <v>20</v>
      </c>
      <c r="H5" s="13" t="s">
        <v>356</v>
      </c>
      <c r="I5" s="13" t="n">
        <v>2</v>
      </c>
      <c r="J5" s="13" t="s">
        <v>285</v>
      </c>
      <c r="K5" s="13" t="s">
        <v>357</v>
      </c>
    </row>
    <row r="6" customFormat="false" ht="24" hidden="false" customHeight="true" outlineLevel="0" collapsed="false">
      <c r="A6" s="14"/>
      <c r="B6" s="14"/>
      <c r="C6" s="14"/>
      <c r="D6" s="14"/>
      <c r="E6" s="14"/>
      <c r="F6" s="14"/>
      <c r="G6" s="14" t="str">
        <f aca="false">IF(OR(E6="",F6=""),"",E6*F6)</f>
        <v/>
      </c>
      <c r="H6" s="14"/>
      <c r="I6" s="14"/>
      <c r="J6" s="14"/>
      <c r="K6" s="14"/>
    </row>
    <row r="7" customFormat="false" ht="24" hidden="false" customHeight="true" outlineLevel="0" collapsed="false">
      <c r="A7" s="14"/>
      <c r="B7" s="14"/>
      <c r="C7" s="14"/>
      <c r="D7" s="14"/>
      <c r="E7" s="14"/>
      <c r="F7" s="14"/>
      <c r="G7" s="14" t="str">
        <f aca="false">IF(OR(E7="",F7=""),"",E7*F7)</f>
        <v/>
      </c>
      <c r="H7" s="14"/>
      <c r="I7" s="14"/>
      <c r="J7" s="14"/>
      <c r="K7" s="14"/>
    </row>
    <row r="8" customFormat="false" ht="24" hidden="false" customHeight="true" outlineLevel="0" collapsed="false">
      <c r="A8" s="14"/>
      <c r="B8" s="14"/>
      <c r="C8" s="14"/>
      <c r="D8" s="14"/>
      <c r="E8" s="14"/>
      <c r="F8" s="14"/>
      <c r="G8" s="14" t="str">
        <f aca="false">IF(OR(E8="",F8=""),"",E8*F8)</f>
        <v/>
      </c>
      <c r="H8" s="14"/>
      <c r="I8" s="14"/>
      <c r="J8" s="14"/>
      <c r="K8" s="14"/>
    </row>
    <row r="9" customFormat="false" ht="24" hidden="false" customHeight="true" outlineLevel="0" collapsed="false">
      <c r="A9" s="14"/>
      <c r="B9" s="14"/>
      <c r="C9" s="14"/>
      <c r="D9" s="14"/>
      <c r="E9" s="14"/>
      <c r="F9" s="14"/>
      <c r="G9" s="14" t="str">
        <f aca="false">IF(OR(E9="",F9=""),"",E9*F9)</f>
        <v/>
      </c>
      <c r="H9" s="14"/>
      <c r="I9" s="14"/>
      <c r="J9" s="14"/>
      <c r="K9" s="14"/>
    </row>
    <row r="10" customFormat="false" ht="24" hidden="false" customHeight="true" outlineLevel="0" collapsed="false">
      <c r="A10" s="14"/>
      <c r="B10" s="14"/>
      <c r="C10" s="14"/>
      <c r="D10" s="14"/>
      <c r="E10" s="14"/>
      <c r="F10" s="14"/>
      <c r="G10" s="14" t="str">
        <f aca="false">IF(OR(E10="",F10=""),"",E10*F10)</f>
        <v/>
      </c>
      <c r="H10" s="14"/>
      <c r="I10" s="14"/>
      <c r="J10" s="14"/>
      <c r="K10" s="14"/>
    </row>
    <row r="11" customFormat="false" ht="24" hidden="false" customHeight="true" outlineLevel="0" collapsed="false">
      <c r="A11" s="14"/>
      <c r="B11" s="14"/>
      <c r="C11" s="14"/>
      <c r="D11" s="14"/>
      <c r="E11" s="14"/>
      <c r="F11" s="14"/>
      <c r="G11" s="14" t="str">
        <f aca="false">IF(OR(E11="",F11=""),"",E11*F11)</f>
        <v/>
      </c>
      <c r="H11" s="14"/>
      <c r="I11" s="14"/>
      <c r="J11" s="14"/>
      <c r="K11" s="14"/>
    </row>
    <row r="12" customFormat="false" ht="24" hidden="false" customHeight="true" outlineLevel="0" collapsed="false">
      <c r="A12" s="14"/>
      <c r="B12" s="14"/>
      <c r="C12" s="14"/>
      <c r="D12" s="14"/>
      <c r="E12" s="14"/>
      <c r="F12" s="14"/>
      <c r="G12" s="14" t="str">
        <f aca="false">IF(OR(E12="",F12=""),"",E12*F12)</f>
        <v/>
      </c>
      <c r="H12" s="14"/>
      <c r="I12" s="14"/>
      <c r="J12" s="14"/>
      <c r="K12" s="14"/>
    </row>
    <row r="13" customFormat="false" ht="24" hidden="false" customHeight="true" outlineLevel="0" collapsed="false">
      <c r="A13" s="14"/>
      <c r="B13" s="14"/>
      <c r="C13" s="14"/>
      <c r="D13" s="14"/>
      <c r="E13" s="14"/>
      <c r="F13" s="14"/>
      <c r="G13" s="14" t="str">
        <f aca="false">IF(OR(E13="",F13=""),"",E13*F13)</f>
        <v/>
      </c>
      <c r="H13" s="14"/>
      <c r="I13" s="14"/>
      <c r="J13" s="14"/>
      <c r="K13" s="14"/>
    </row>
    <row r="14" customFormat="false" ht="24" hidden="false" customHeight="true" outlineLevel="0" collapsed="false">
      <c r="A14" s="14"/>
      <c r="B14" s="14"/>
      <c r="C14" s="14"/>
      <c r="D14" s="14"/>
      <c r="E14" s="14"/>
      <c r="F14" s="14"/>
      <c r="G14" s="14" t="str">
        <f aca="false">IF(OR(E14="",F14=""),"",E14*F14)</f>
        <v/>
      </c>
      <c r="H14" s="14"/>
      <c r="I14" s="14"/>
      <c r="J14" s="14"/>
      <c r="K14" s="14"/>
    </row>
    <row r="15" customFormat="false" ht="24" hidden="false" customHeight="true" outlineLevel="0" collapsed="false">
      <c r="A15" s="14"/>
      <c r="B15" s="14"/>
      <c r="C15" s="14"/>
      <c r="D15" s="14"/>
      <c r="E15" s="14"/>
      <c r="F15" s="14"/>
      <c r="G15" s="14" t="str">
        <f aca="false">IF(OR(E15="",F15=""),"",E15*F15)</f>
        <v/>
      </c>
      <c r="H15" s="14"/>
      <c r="I15" s="14"/>
      <c r="J15" s="14"/>
      <c r="K15" s="14"/>
    </row>
    <row r="16" customFormat="false" ht="24" hidden="false" customHeight="true" outlineLevel="0" collapsed="false">
      <c r="A16" s="14"/>
      <c r="B16" s="14"/>
      <c r="C16" s="14"/>
      <c r="D16" s="14"/>
      <c r="E16" s="14"/>
      <c r="F16" s="14"/>
      <c r="G16" s="14" t="str">
        <f aca="false">IF(OR(E16="",F16=""),"",E16*F16)</f>
        <v/>
      </c>
      <c r="H16" s="14"/>
      <c r="I16" s="14"/>
      <c r="J16" s="14"/>
      <c r="K16" s="14"/>
    </row>
    <row r="17" customFormat="false" ht="24" hidden="false" customHeight="true" outlineLevel="0" collapsed="false">
      <c r="A17" s="14"/>
      <c r="B17" s="14"/>
      <c r="C17" s="14"/>
      <c r="D17" s="14"/>
      <c r="E17" s="14"/>
      <c r="F17" s="14"/>
      <c r="G17" s="14" t="str">
        <f aca="false">IF(OR(E17="",F17=""),"",E17*F17)</f>
        <v/>
      </c>
      <c r="H17" s="14"/>
      <c r="I17" s="14"/>
      <c r="J17" s="14"/>
      <c r="K17" s="14"/>
    </row>
    <row r="18" customFormat="false" ht="24" hidden="false" customHeight="true" outlineLevel="0" collapsed="false">
      <c r="A18" s="14"/>
      <c r="B18" s="14"/>
      <c r="C18" s="14"/>
      <c r="D18" s="14"/>
      <c r="E18" s="14"/>
      <c r="F18" s="14"/>
      <c r="G18" s="14" t="str">
        <f aca="false">IF(OR(E18="",F18=""),"",E18*F18)</f>
        <v/>
      </c>
      <c r="H18" s="14"/>
      <c r="I18" s="14"/>
      <c r="J18" s="14"/>
      <c r="K18" s="14"/>
    </row>
    <row r="19" customFormat="false" ht="24" hidden="false" customHeight="true" outlineLevel="0" collapsed="false">
      <c r="A19" s="14"/>
      <c r="B19" s="14"/>
      <c r="C19" s="14"/>
      <c r="D19" s="14"/>
      <c r="E19" s="14"/>
      <c r="F19" s="14"/>
      <c r="G19" s="14" t="str">
        <f aca="false">IF(OR(E19="",F19=""),"",E19*F19)</f>
        <v/>
      </c>
      <c r="H19" s="14"/>
      <c r="I19" s="14"/>
      <c r="J19" s="14"/>
      <c r="K19" s="14"/>
    </row>
    <row r="20" customFormat="false" ht="24" hidden="false" customHeight="true" outlineLevel="0" collapsed="false">
      <c r="A20" s="14"/>
      <c r="B20" s="14"/>
      <c r="C20" s="14"/>
      <c r="D20" s="14"/>
      <c r="E20" s="14"/>
      <c r="F20" s="14"/>
      <c r="G20" s="14" t="str">
        <f aca="false">IF(OR(E20="",F20=""),"",E20*F20)</f>
        <v/>
      </c>
      <c r="H20" s="14"/>
      <c r="I20" s="14"/>
      <c r="J20" s="14"/>
      <c r="K20" s="14"/>
    </row>
    <row r="21" customFormat="false" ht="24" hidden="false" customHeight="true" outlineLevel="0" collapsed="false">
      <c r="A21" s="14"/>
      <c r="B21" s="14"/>
      <c r="C21" s="14"/>
      <c r="D21" s="14"/>
      <c r="E21" s="14"/>
      <c r="F21" s="14"/>
      <c r="G21" s="14" t="str">
        <f aca="false">IF(OR(E21="",F21=""),"",E21*F21)</f>
        <v/>
      </c>
      <c r="H21" s="14"/>
      <c r="I21" s="14"/>
      <c r="J21" s="14"/>
      <c r="K21" s="14"/>
    </row>
    <row r="22" customFormat="false" ht="24" hidden="false" customHeight="true" outlineLevel="0" collapsed="false">
      <c r="A22" s="14"/>
      <c r="B22" s="14"/>
      <c r="C22" s="14"/>
      <c r="D22" s="14"/>
      <c r="E22" s="14"/>
      <c r="F22" s="14"/>
      <c r="G22" s="14" t="str">
        <f aca="false">IF(OR(E22="",F22=""),"",E22*F22)</f>
        <v/>
      </c>
      <c r="H22" s="14"/>
      <c r="I22" s="14"/>
      <c r="J22" s="14"/>
      <c r="K22" s="14"/>
    </row>
    <row r="23" customFormat="false" ht="24" hidden="false" customHeight="true" outlineLevel="0" collapsed="false">
      <c r="A23" s="14"/>
      <c r="B23" s="14"/>
      <c r="C23" s="14"/>
      <c r="D23" s="14"/>
      <c r="E23" s="14"/>
      <c r="F23" s="14"/>
      <c r="G23" s="14" t="str">
        <f aca="false">IF(OR(E23="",F23=""),"",E23*F23)</f>
        <v/>
      </c>
      <c r="H23" s="14"/>
      <c r="I23" s="14"/>
      <c r="J23" s="14"/>
      <c r="K23" s="14"/>
    </row>
    <row r="24" customFormat="false" ht="24" hidden="false" customHeight="true" outlineLevel="0" collapsed="false">
      <c r="A24" s="14"/>
      <c r="B24" s="14"/>
      <c r="C24" s="14"/>
      <c r="D24" s="14"/>
      <c r="E24" s="14"/>
      <c r="F24" s="14"/>
      <c r="G24" s="14" t="str">
        <f aca="false">IF(OR(E24="",F24=""),"",E24*F24)</f>
        <v/>
      </c>
      <c r="H24" s="14"/>
      <c r="I24" s="14"/>
      <c r="J24" s="14"/>
      <c r="K24" s="14"/>
    </row>
    <row r="25" customFormat="false" ht="24" hidden="false" customHeight="true" outlineLevel="0" collapsed="false">
      <c r="A25" s="14"/>
      <c r="B25" s="14"/>
      <c r="C25" s="14"/>
      <c r="D25" s="14"/>
      <c r="E25" s="14"/>
      <c r="F25" s="14"/>
      <c r="G25" s="14" t="str">
        <f aca="false">IF(OR(E25="",F25=""),"",E25*F25)</f>
        <v/>
      </c>
      <c r="H25" s="14"/>
      <c r="I25" s="14"/>
      <c r="J25" s="14"/>
      <c r="K25" s="14"/>
    </row>
  </sheetData>
  <mergeCells count="2">
    <mergeCell ref="A1:K1"/>
    <mergeCell ref="A2:K2"/>
  </mergeCells>
  <dataValidations count="1">
    <dataValidation allowBlank="true" errorStyle="stop" operator="between" showDropDown="false" showErrorMessage="false" showInputMessage="false" sqref="C5:C25" type="list">
      <formula1>"Individual impact,Societal impact,Operational,Compliance / Legal,Security / Privacy,Generative AI-specific"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0"/>
    <col collapsed="false" customWidth="true" hidden="false" outlineLevel="0" max="3" min="3" style="0" width="12"/>
    <col collapsed="false" customWidth="true" hidden="false" outlineLevel="0" max="4" min="4" style="0" width="26"/>
    <col collapsed="false" customWidth="true" hidden="false" outlineLevel="0" max="5" min="5" style="0" width="32"/>
    <col collapsed="false" customWidth="true" hidden="false" outlineLevel="0" max="7" min="6" style="0" width="14"/>
    <col collapsed="false" customWidth="true" hidden="false" outlineLevel="0" max="8" min="8" style="0" width="30"/>
  </cols>
  <sheetData>
    <row r="1" customFormat="false" ht="27.75" hidden="false" customHeight="true" outlineLevel="0" collapsed="false">
      <c r="A1" s="1" t="s">
        <v>358</v>
      </c>
      <c r="B1" s="1"/>
      <c r="C1" s="1"/>
      <c r="D1" s="1"/>
      <c r="E1" s="1"/>
      <c r="F1" s="1"/>
      <c r="G1" s="1"/>
      <c r="H1" s="1"/>
    </row>
    <row r="2" customFormat="false" ht="18" hidden="false" customHeight="true" outlineLevel="0" collapsed="false">
      <c r="A2" s="2" t="s">
        <v>359</v>
      </c>
      <c r="B2" s="2"/>
      <c r="C2" s="2"/>
      <c r="D2" s="2"/>
      <c r="E2" s="2"/>
      <c r="F2" s="2"/>
      <c r="G2" s="2"/>
      <c r="H2" s="2"/>
    </row>
    <row r="4" customFormat="false" ht="31.5" hidden="false" customHeight="true" outlineLevel="0" collapsed="false">
      <c r="A4" s="8" t="s">
        <v>360</v>
      </c>
      <c r="B4" s="8" t="s">
        <v>361</v>
      </c>
      <c r="C4" s="8" t="s">
        <v>362</v>
      </c>
      <c r="D4" s="8" t="s">
        <v>363</v>
      </c>
      <c r="E4" s="8" t="s">
        <v>364</v>
      </c>
      <c r="F4" s="8" t="s">
        <v>365</v>
      </c>
      <c r="G4" s="8" t="s">
        <v>244</v>
      </c>
      <c r="H4" s="8" t="s">
        <v>336</v>
      </c>
    </row>
    <row r="5" customFormat="false" ht="35.05" hidden="false" customHeight="false" outlineLevel="0" collapsed="false">
      <c r="A5" s="13" t="s">
        <v>366</v>
      </c>
      <c r="B5" s="13" t="s">
        <v>367</v>
      </c>
      <c r="C5" s="13" t="s">
        <v>368</v>
      </c>
      <c r="D5" s="13" t="s">
        <v>369</v>
      </c>
      <c r="E5" s="13" t="s">
        <v>370</v>
      </c>
      <c r="F5" s="13" t="s">
        <v>322</v>
      </c>
      <c r="G5" s="13" t="s">
        <v>371</v>
      </c>
      <c r="H5" s="13" t="s">
        <v>372</v>
      </c>
    </row>
    <row r="6" customFormat="false" ht="33.75" hidden="false" customHeight="true" outlineLevel="0" collapsed="false">
      <c r="A6" s="15" t="s">
        <v>373</v>
      </c>
      <c r="B6" s="15" t="s">
        <v>374</v>
      </c>
      <c r="C6" s="15"/>
      <c r="D6" s="15" t="s">
        <v>375</v>
      </c>
      <c r="E6" s="15"/>
      <c r="F6" s="15"/>
      <c r="G6" s="15"/>
      <c r="H6" s="15"/>
    </row>
    <row r="7" customFormat="false" ht="33.75" hidden="false" customHeight="true" outlineLevel="0" collapsed="false">
      <c r="A7" s="15" t="s">
        <v>376</v>
      </c>
      <c r="B7" s="15" t="s">
        <v>377</v>
      </c>
      <c r="C7" s="15"/>
      <c r="D7" s="15" t="s">
        <v>369</v>
      </c>
      <c r="E7" s="15"/>
      <c r="F7" s="15"/>
      <c r="G7" s="15"/>
      <c r="H7" s="15"/>
    </row>
    <row r="8" customFormat="false" ht="33.75" hidden="false" customHeight="true" outlineLevel="0" collapsed="false">
      <c r="A8" s="15" t="s">
        <v>378</v>
      </c>
      <c r="B8" s="15" t="s">
        <v>379</v>
      </c>
      <c r="C8" s="15"/>
      <c r="D8" s="15" t="s">
        <v>380</v>
      </c>
      <c r="E8" s="15"/>
      <c r="F8" s="15"/>
      <c r="G8" s="15"/>
      <c r="H8" s="15"/>
    </row>
    <row r="9" customFormat="false" ht="33.75" hidden="false" customHeight="true" outlineLevel="0" collapsed="false">
      <c r="A9" s="15" t="s">
        <v>381</v>
      </c>
      <c r="B9" s="15" t="s">
        <v>382</v>
      </c>
      <c r="C9" s="15"/>
      <c r="D9" s="15" t="s">
        <v>383</v>
      </c>
      <c r="E9" s="15"/>
      <c r="F9" s="15"/>
      <c r="G9" s="15"/>
      <c r="H9" s="15"/>
    </row>
    <row r="10" customFormat="false" ht="33.75" hidden="false" customHeight="true" outlineLevel="0" collapsed="false">
      <c r="A10" s="15" t="s">
        <v>384</v>
      </c>
      <c r="B10" s="15" t="s">
        <v>385</v>
      </c>
      <c r="C10" s="15"/>
      <c r="D10" s="15" t="s">
        <v>386</v>
      </c>
      <c r="E10" s="15"/>
      <c r="F10" s="15"/>
      <c r="G10" s="15"/>
      <c r="H10" s="15"/>
    </row>
    <row r="11" customFormat="false" ht="33.75" hidden="false" customHeight="true" outlineLevel="0" collapsed="false">
      <c r="A11" s="15" t="s">
        <v>387</v>
      </c>
      <c r="B11" s="15" t="s">
        <v>388</v>
      </c>
      <c r="C11" s="15"/>
      <c r="D11" s="15" t="s">
        <v>389</v>
      </c>
      <c r="E11" s="15"/>
      <c r="F11" s="15"/>
      <c r="G11" s="15"/>
      <c r="H11" s="15"/>
    </row>
    <row r="12" customFormat="false" ht="33.75" hidden="false" customHeight="true" outlineLevel="0" collapsed="false">
      <c r="A12" s="15" t="s">
        <v>390</v>
      </c>
      <c r="B12" s="15" t="s">
        <v>391</v>
      </c>
      <c r="C12" s="15"/>
      <c r="D12" s="15" t="s">
        <v>392</v>
      </c>
      <c r="E12" s="15"/>
      <c r="F12" s="15"/>
      <c r="G12" s="15"/>
      <c r="H12" s="15"/>
    </row>
    <row r="13" customFormat="false" ht="33.75" hidden="false" customHeight="true" outlineLevel="0" collapsed="false">
      <c r="A13" s="15" t="s">
        <v>393</v>
      </c>
      <c r="B13" s="15" t="s">
        <v>394</v>
      </c>
      <c r="C13" s="15"/>
      <c r="D13" s="15" t="s">
        <v>395</v>
      </c>
      <c r="E13" s="15"/>
      <c r="F13" s="15"/>
      <c r="G13" s="15"/>
      <c r="H13" s="15"/>
    </row>
    <row r="14" customFormat="false" ht="33.75" hidden="false" customHeight="true" outlineLevel="0" collapsed="false">
      <c r="A14" s="15" t="s">
        <v>396</v>
      </c>
      <c r="B14" s="15" t="s">
        <v>397</v>
      </c>
      <c r="C14" s="15"/>
      <c r="D14" s="15" t="s">
        <v>398</v>
      </c>
      <c r="E14" s="15"/>
      <c r="F14" s="15"/>
      <c r="G14" s="15"/>
      <c r="H14" s="15"/>
    </row>
    <row r="15" customFormat="false" ht="33.75" hidden="false" customHeight="true" outlineLevel="0" collapsed="false">
      <c r="A15" s="15" t="s">
        <v>399</v>
      </c>
      <c r="B15" s="15" t="s">
        <v>400</v>
      </c>
      <c r="C15" s="15"/>
      <c r="D15" s="15" t="s">
        <v>401</v>
      </c>
      <c r="E15" s="15"/>
      <c r="F15" s="15"/>
      <c r="G15" s="15"/>
      <c r="H15" s="15"/>
    </row>
    <row r="16" customFormat="false" ht="33.75" hidden="false" customHeight="true" outlineLevel="0" collapsed="false">
      <c r="A16" s="15" t="s">
        <v>402</v>
      </c>
      <c r="B16" s="15" t="s">
        <v>403</v>
      </c>
      <c r="C16" s="15"/>
      <c r="D16" s="15" t="s">
        <v>404</v>
      </c>
      <c r="E16" s="15"/>
      <c r="F16" s="15"/>
      <c r="G16" s="15"/>
      <c r="H16" s="15"/>
    </row>
    <row r="17" customFormat="false" ht="33.75" hidden="false" customHeight="true" outlineLevel="0" collapsed="false">
      <c r="A17" s="15" t="s">
        <v>405</v>
      </c>
      <c r="B17" s="15" t="s">
        <v>406</v>
      </c>
      <c r="C17" s="15"/>
      <c r="D17" s="15" t="s">
        <v>407</v>
      </c>
      <c r="E17" s="15"/>
      <c r="F17" s="15"/>
      <c r="G17" s="15"/>
      <c r="H17" s="15"/>
    </row>
  </sheetData>
  <mergeCells count="2">
    <mergeCell ref="A1:H1"/>
    <mergeCell ref="A2:H2"/>
  </mergeCells>
  <dataValidations count="2">
    <dataValidation allowBlank="true" errorStyle="stop" operator="between" showDropDown="false" showErrorMessage="false" showInputMessage="false" sqref="C6:C17" type="list">
      <formula1>"Y,N,Partial / Under Review"</formula1>
      <formula2>0</formula2>
    </dataValidation>
    <dataValidation allowBlank="true" errorStyle="stop" operator="between" showDropDown="false" showErrorMessage="false" showInputMessage="false" sqref="F6:F17" type="list">
      <formula1>"Low,Medium,High,Not Assessed"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0"/>
    <col collapsed="false" customWidth="true" hidden="false" outlineLevel="0" max="4" min="3" style="0" width="16"/>
    <col collapsed="false" customWidth="true" hidden="false" outlineLevel="0" max="5" min="5" style="0" width="26"/>
    <col collapsed="false" customWidth="true" hidden="false" outlineLevel="0" max="6" min="6" style="0" width="16"/>
    <col collapsed="false" customWidth="true" hidden="false" outlineLevel="0" max="7" min="7" style="0" width="30"/>
  </cols>
  <sheetData>
    <row r="1" customFormat="false" ht="27.75" hidden="false" customHeight="true" outlineLevel="0" collapsed="false">
      <c r="A1" s="1" t="s">
        <v>408</v>
      </c>
      <c r="B1" s="1"/>
      <c r="C1" s="1"/>
      <c r="D1" s="1"/>
      <c r="E1" s="1"/>
      <c r="F1" s="1"/>
      <c r="G1" s="1"/>
    </row>
    <row r="2" customFormat="false" ht="18" hidden="false" customHeight="true" outlineLevel="0" collapsed="false">
      <c r="A2" s="2" t="s">
        <v>409</v>
      </c>
      <c r="B2" s="2"/>
      <c r="C2" s="2"/>
      <c r="D2" s="2"/>
      <c r="E2" s="2"/>
      <c r="F2" s="2"/>
      <c r="G2" s="2"/>
    </row>
    <row r="4" customFormat="false" ht="31.5" hidden="false" customHeight="true" outlineLevel="0" collapsed="false">
      <c r="A4" s="8" t="s">
        <v>80</v>
      </c>
      <c r="B4" s="8" t="s">
        <v>81</v>
      </c>
      <c r="C4" s="8" t="s">
        <v>410</v>
      </c>
      <c r="D4" s="8" t="s">
        <v>411</v>
      </c>
      <c r="E4" s="8" t="s">
        <v>412</v>
      </c>
      <c r="F4" s="8" t="s">
        <v>244</v>
      </c>
      <c r="G4" s="8" t="s">
        <v>336</v>
      </c>
    </row>
    <row r="5" customFormat="false" ht="23.85" hidden="false" customHeight="false" outlineLevel="0" collapsed="false">
      <c r="A5" s="13" t="s">
        <v>86</v>
      </c>
      <c r="B5" s="13" t="s">
        <v>413</v>
      </c>
      <c r="C5" s="13" t="s">
        <v>414</v>
      </c>
      <c r="D5" s="13" t="s">
        <v>415</v>
      </c>
      <c r="E5" s="13" t="s">
        <v>416</v>
      </c>
      <c r="F5" s="13" t="s">
        <v>285</v>
      </c>
      <c r="G5" s="13" t="s">
        <v>417</v>
      </c>
    </row>
    <row r="6" customFormat="false" ht="15" hidden="false" customHeight="false" outlineLevel="0" collapsed="false">
      <c r="A6" s="15" t="s">
        <v>86</v>
      </c>
      <c r="B6" s="15" t="s">
        <v>418</v>
      </c>
      <c r="C6" s="15"/>
      <c r="D6" s="15"/>
      <c r="E6" s="15"/>
      <c r="F6" s="15"/>
      <c r="G6" s="15"/>
    </row>
    <row r="7" customFormat="false" ht="15" hidden="false" customHeight="false" outlineLevel="0" collapsed="false">
      <c r="A7" s="15" t="s">
        <v>86</v>
      </c>
      <c r="B7" s="15" t="s">
        <v>419</v>
      </c>
      <c r="C7" s="15"/>
      <c r="D7" s="15"/>
      <c r="E7" s="15"/>
      <c r="F7" s="15"/>
      <c r="G7" s="15"/>
    </row>
    <row r="8" customFormat="false" ht="15" hidden="false" customHeight="false" outlineLevel="0" collapsed="false">
      <c r="A8" s="15" t="s">
        <v>86</v>
      </c>
      <c r="B8" s="15" t="s">
        <v>420</v>
      </c>
      <c r="C8" s="15"/>
      <c r="D8" s="15"/>
      <c r="E8" s="15"/>
      <c r="F8" s="15"/>
      <c r="G8" s="15"/>
    </row>
    <row r="9" customFormat="false" ht="15" hidden="false" customHeight="false" outlineLevel="0" collapsed="false">
      <c r="A9" s="15" t="s">
        <v>86</v>
      </c>
      <c r="B9" s="15" t="s">
        <v>421</v>
      </c>
      <c r="C9" s="15"/>
      <c r="D9" s="15"/>
      <c r="E9" s="15"/>
      <c r="F9" s="15"/>
      <c r="G9" s="15"/>
    </row>
    <row r="10" customFormat="false" ht="15" hidden="false" customHeight="false" outlineLevel="0" collapsed="false">
      <c r="A10" s="15" t="s">
        <v>86</v>
      </c>
      <c r="B10" s="15" t="s">
        <v>422</v>
      </c>
      <c r="C10" s="15"/>
      <c r="D10" s="15"/>
      <c r="E10" s="15"/>
      <c r="F10" s="15"/>
      <c r="G10" s="15"/>
    </row>
    <row r="11" customFormat="false" ht="15" hidden="false" customHeight="false" outlineLevel="0" collapsed="false">
      <c r="A11" s="15" t="s">
        <v>86</v>
      </c>
      <c r="B11" s="15" t="s">
        <v>423</v>
      </c>
      <c r="C11" s="15"/>
      <c r="D11" s="15"/>
      <c r="E11" s="15"/>
      <c r="F11" s="15"/>
      <c r="G11" s="15"/>
    </row>
    <row r="12" customFormat="false" ht="15" hidden="false" customHeight="false" outlineLevel="0" collapsed="false">
      <c r="A12" s="15" t="s">
        <v>128</v>
      </c>
      <c r="B12" s="15" t="s">
        <v>424</v>
      </c>
      <c r="C12" s="15"/>
      <c r="D12" s="15"/>
      <c r="E12" s="15"/>
      <c r="F12" s="15"/>
      <c r="G12" s="15"/>
    </row>
    <row r="13" customFormat="false" ht="15" hidden="false" customHeight="false" outlineLevel="0" collapsed="false">
      <c r="A13" s="15" t="s">
        <v>128</v>
      </c>
      <c r="B13" s="15" t="s">
        <v>425</v>
      </c>
      <c r="C13" s="15"/>
      <c r="D13" s="15"/>
      <c r="E13" s="15"/>
      <c r="F13" s="15"/>
      <c r="G13" s="15"/>
    </row>
    <row r="14" customFormat="false" ht="15" hidden="false" customHeight="false" outlineLevel="0" collapsed="false">
      <c r="A14" s="15" t="s">
        <v>128</v>
      </c>
      <c r="B14" s="15" t="s">
        <v>426</v>
      </c>
      <c r="C14" s="15"/>
      <c r="D14" s="15"/>
      <c r="E14" s="15"/>
      <c r="F14" s="15"/>
      <c r="G14" s="15"/>
    </row>
    <row r="15" customFormat="false" ht="15" hidden="false" customHeight="false" outlineLevel="0" collapsed="false">
      <c r="A15" s="15" t="s">
        <v>128</v>
      </c>
      <c r="B15" s="15" t="s">
        <v>427</v>
      </c>
      <c r="C15" s="15"/>
      <c r="D15" s="15"/>
      <c r="E15" s="15"/>
      <c r="F15" s="15"/>
      <c r="G15" s="15"/>
    </row>
    <row r="16" customFormat="false" ht="15" hidden="false" customHeight="false" outlineLevel="0" collapsed="false">
      <c r="A16" s="15" t="s">
        <v>128</v>
      </c>
      <c r="B16" s="15" t="s">
        <v>428</v>
      </c>
      <c r="C16" s="15"/>
      <c r="D16" s="15"/>
      <c r="E16" s="15"/>
      <c r="F16" s="15"/>
      <c r="G16" s="15"/>
    </row>
    <row r="17" customFormat="false" ht="15" hidden="false" customHeight="false" outlineLevel="0" collapsed="false">
      <c r="A17" s="15" t="s">
        <v>165</v>
      </c>
      <c r="B17" s="15" t="s">
        <v>429</v>
      </c>
      <c r="C17" s="15"/>
      <c r="D17" s="15"/>
      <c r="E17" s="15"/>
      <c r="F17" s="15"/>
      <c r="G17" s="15"/>
    </row>
    <row r="18" customFormat="false" ht="15" hidden="false" customHeight="false" outlineLevel="0" collapsed="false">
      <c r="A18" s="15" t="s">
        <v>165</v>
      </c>
      <c r="B18" s="15" t="s">
        <v>430</v>
      </c>
      <c r="C18" s="15"/>
      <c r="D18" s="15"/>
      <c r="E18" s="15"/>
      <c r="F18" s="15"/>
      <c r="G18" s="15"/>
    </row>
    <row r="19" customFormat="false" ht="15" hidden="false" customHeight="false" outlineLevel="0" collapsed="false">
      <c r="A19" s="15" t="s">
        <v>165</v>
      </c>
      <c r="B19" s="15" t="s">
        <v>431</v>
      </c>
      <c r="C19" s="15"/>
      <c r="D19" s="15"/>
      <c r="E19" s="15"/>
      <c r="F19" s="15"/>
      <c r="G19" s="15"/>
    </row>
    <row r="20" customFormat="false" ht="15" hidden="false" customHeight="false" outlineLevel="0" collapsed="false">
      <c r="A20" s="15" t="s">
        <v>165</v>
      </c>
      <c r="B20" s="15" t="s">
        <v>432</v>
      </c>
      <c r="C20" s="15"/>
      <c r="D20" s="15"/>
      <c r="E20" s="15"/>
      <c r="F20" s="15"/>
      <c r="G20" s="15"/>
    </row>
    <row r="21" customFormat="false" ht="15" hidden="false" customHeight="false" outlineLevel="0" collapsed="false">
      <c r="A21" s="15" t="s">
        <v>210</v>
      </c>
      <c r="B21" s="15" t="s">
        <v>433</v>
      </c>
      <c r="C21" s="15"/>
      <c r="D21" s="15"/>
      <c r="E21" s="15"/>
      <c r="F21" s="15"/>
      <c r="G21" s="15"/>
    </row>
    <row r="22" customFormat="false" ht="15" hidden="false" customHeight="false" outlineLevel="0" collapsed="false">
      <c r="A22" s="15" t="s">
        <v>210</v>
      </c>
      <c r="B22" s="15" t="s">
        <v>434</v>
      </c>
      <c r="C22" s="15"/>
      <c r="D22" s="15"/>
      <c r="E22" s="15"/>
      <c r="F22" s="15"/>
      <c r="G22" s="15"/>
    </row>
    <row r="23" customFormat="false" ht="15" hidden="false" customHeight="false" outlineLevel="0" collapsed="false">
      <c r="A23" s="15" t="s">
        <v>210</v>
      </c>
      <c r="B23" s="15" t="s">
        <v>435</v>
      </c>
      <c r="C23" s="15"/>
      <c r="D23" s="15"/>
      <c r="E23" s="15"/>
      <c r="F23" s="15"/>
      <c r="G23" s="15"/>
    </row>
    <row r="24" customFormat="false" ht="15" hidden="false" customHeight="false" outlineLevel="0" collapsed="false">
      <c r="A24" s="15" t="s">
        <v>210</v>
      </c>
      <c r="B24" s="15" t="s">
        <v>436</v>
      </c>
      <c r="C24" s="15"/>
      <c r="D24" s="15"/>
      <c r="E24" s="15"/>
      <c r="F24" s="15"/>
      <c r="G24" s="15"/>
    </row>
    <row r="25" customFormat="false" ht="19.5" hidden="false" customHeight="true" outlineLevel="0" collapsed="false">
      <c r="A25" s="14"/>
      <c r="B25" s="14"/>
      <c r="C25" s="14"/>
      <c r="D25" s="14"/>
      <c r="E25" s="14"/>
      <c r="F25" s="14"/>
      <c r="G25" s="14"/>
    </row>
    <row r="26" customFormat="false" ht="19.5" hidden="false" customHeight="true" outlineLevel="0" collapsed="false">
      <c r="A26" s="14"/>
      <c r="B26" s="14"/>
      <c r="C26" s="14"/>
      <c r="D26" s="14"/>
      <c r="E26" s="14"/>
      <c r="F26" s="14"/>
      <c r="G26" s="14"/>
    </row>
    <row r="27" customFormat="false" ht="19.5" hidden="false" customHeight="true" outlineLevel="0" collapsed="false">
      <c r="A27" s="14"/>
      <c r="B27" s="14"/>
      <c r="C27" s="14"/>
      <c r="D27" s="14"/>
      <c r="E27" s="14"/>
      <c r="F27" s="14"/>
      <c r="G27" s="14"/>
    </row>
  </sheetData>
  <mergeCells count="2">
    <mergeCell ref="A1:G1"/>
    <mergeCell ref="A2:G2"/>
  </mergeCells>
  <dataValidations count="1">
    <dataValidation allowBlank="true" errorStyle="stop" operator="between" showDropDown="false" showErrorMessage="false" showInputMessage="false" sqref="E6:E27" type="list">
      <formula1>"Scheduled Cycle,Major AI System Change,New Generative AI Deployment,Regulatory Change,Prior Finding Follow-up"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2026-08-13T15:35:37Z</dcterms:created>
  <dc:creator>openpyxl</dc:creator>
  <dc:description/>
  <dc:language>en-US</dc:language>
  <cp:lastModifiedBy/>
  <dcterms:modified xsi:type="dcterms:W3CDTF">2026-08-13T15:35:38Z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