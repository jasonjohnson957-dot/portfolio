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mplate 1 - Assessment Plan" sheetId="2" state="visible" r:id="rId4"/>
    <sheet name="Template 2 - Current Profile" sheetId="3" state="visible" r:id="rId5"/>
    <sheet name="Template 3 - Target Profile" sheetId="4" state="visible" r:id="rId6"/>
    <sheet name="Template 4 - Gap Analysis" sheetId="5" state="visible" r:id="rId7"/>
    <sheet name="Template 5 - Evidence Log" sheetId="6" state="visible" r:id="rId8"/>
    <sheet name="Template 6 - Findings Tracker" sheetId="7" state="visible" r:id="rId9"/>
    <sheet name="Template 7 - Interview Agenda" sheetId="8" state="visible" r:id="rId10"/>
    <sheet name="Template 8 - Report Summary" sheetId="9" state="visible" r:id="rId11"/>
    <sheet name="Template 9 - Remediation Plan" sheetId="10" state="visible" r:id="rId12"/>
    <sheet name="Template 10 - Risk Register" sheetId="11" state="visible" r:id="rId13"/>
    <sheet name="Template 11 - Reassessmen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Risk Rating = Likelihood x Impact (auto-calculated). 1-5 = Low, 6-14 = Medium, 15-25 = High.</t>
        </r>
      </text>
    </comment>
  </commentList>
</comments>
</file>

<file path=xl/sharedStrings.xml><?xml version="1.0" encoding="utf-8"?>
<sst xmlns="http://schemas.openxmlformats.org/spreadsheetml/2006/main" count="919" uniqueCount="514">
  <si>
    <t xml:space="preserve">NIST CSF 2.0 Assessment Toolkit</t>
  </si>
  <si>
    <t xml:space="preserve">Companion workbook to the NIST Cybersecurity Framework (CSF) 2.0 Assessment Handbook (.docx) -- reusable templates for a self-run or consultant-led gap/maturity assessment.</t>
  </si>
  <si>
    <t xml:space="preserve">IMPORTANT -- read before you start</t>
  </si>
  <si>
    <t xml:space="preserve">NIST CSF has no certification. NIST issues nothing and certifies nothing. There is no accredited third-party certification body, no Stage 1 / Stage 2 audit, and no fixed 3-year certificate cycle. This workbook supports a self-assessment or consultant-led gap/maturity assessment against a Current Profile and a Target Profile -- not a certification audit. See the companion handbook, Part One, for full detail.</t>
  </si>
  <si>
    <t xml:space="preserve">How to use this workbook</t>
  </si>
  <si>
    <t xml:space="preserve">1.</t>
  </si>
  <si>
    <t xml:space="preserve">This workbook contains 11 templates (Template 1-11), one per tab, each paired with a numbered walkthrough in Part Four of the companion handbook.</t>
  </si>
  <si>
    <t xml:space="preserve">2.</t>
  </si>
  <si>
    <t xml:space="preserve">Work through the tabs roughly in order on your first assessment. On future (re)assessments, start from Template 1 and jump to whichever tabs you need.</t>
  </si>
  <si>
    <t xml:space="preserve">3.</t>
  </si>
  <si>
    <t xml:space="preserve">Template 2 lists all 106 official CSF 2.0 subcategories with NIST's exact wording and exact codes, including intentional numbering gaps (e.g. no ID.AM-06) -- do not renumber them.</t>
  </si>
  <si>
    <t xml:space="preserve">4.</t>
  </si>
  <si>
    <t xml:space="preserve">The first data row of most templates is a gray-italic EXAMPLE row -- read it, then either overwrite it or leave it as a reference and add your own rows below/around it.</t>
  </si>
  <si>
    <t xml:space="preserve">5.</t>
  </si>
  <si>
    <t xml:space="preserve">Cells with a dropdown arrow use validated lists (e.g. High/Medium/Low) -- use the dropdown rather than typing free text, so filtering and roll-ups stay consistent.</t>
  </si>
  <si>
    <t xml:space="preserve">6.</t>
  </si>
  <si>
    <t xml:space="preserve">The 0-4 (or 1-5) numeric maturity score used throughout this workbook is a widely-adopted assessor/vendor convention, NOT an official NIST scale -- NIST only defines the 4 qualitative Tiers (Partial / Risk Informed / Repeatable / Adaptive), which describe organization-wide governance rigor, not a per-subcategory number. Keep this distinction in mind when presenting results.</t>
  </si>
  <si>
    <t xml:space="preserve">7.</t>
  </si>
  <si>
    <t xml:space="preserve">Duplicate this whole workbook file at the start of each new assessment (e.g. 'NIST CSF 2.0 Assessment Toolkit - Acme Corp - 2026.xlsx') so you keep a clean, dated record per engagement.</t>
  </si>
  <si>
    <t xml:space="preserve">8.</t>
  </si>
  <si>
    <t xml:space="preserve">Tab 11 (Reassessment Schedule) is the one exception meant to persist and be updated across multiple assessment cycles rather than restarted each time.</t>
  </si>
  <si>
    <t xml:space="preserve">Tab index</t>
  </si>
  <si>
    <t xml:space="preserve">Tab name</t>
  </si>
  <si>
    <t xml:space="preserve">Purpose</t>
  </si>
  <si>
    <t xml:space="preserve">Template 1 - Assessment Plan</t>
  </si>
  <si>
    <t xml:space="preserve">Scope, objectives, intended use of results, team, timeline.</t>
  </si>
  <si>
    <t xml:space="preserve">Template 2 - Current Profile</t>
  </si>
  <si>
    <t xml:space="preserve">All 106 subcategories: current 0-4 score, evidence/notes, assessor.</t>
  </si>
  <si>
    <t xml:space="preserve">Template 3 - Target Profile</t>
  </si>
  <si>
    <t xml:space="preserve">Target Tier selection (org and per-function) plus per-category target scores.</t>
  </si>
  <si>
    <t xml:space="preserve">Template 4 - Gap Analysis</t>
  </si>
  <si>
    <t xml:space="preserve">Current vs Target vs Gap per function/category, with a priority rating and heat map.</t>
  </si>
  <si>
    <t xml:space="preserve">Template 5 - Evidence Log</t>
  </si>
  <si>
    <t xml:space="preserve">Chronological record of every piece of evidence examined.</t>
  </si>
  <si>
    <t xml:space="preserve">Template 6 - Findings Tracker</t>
  </si>
  <si>
    <t xml:space="preserve">Gap/finding register graded High/Medium/Low priority (not ISO major/minor).</t>
  </si>
  <si>
    <t xml:space="preserve">Template 7 - Interview Agenda</t>
  </si>
  <si>
    <t xml:space="preserve">Stakeholder interview and workshop agenda across IT, security, legal, HR, executive leadership.</t>
  </si>
  <si>
    <t xml:space="preserve">Template 8 - Report Summary</t>
  </si>
  <si>
    <t xml:space="preserve">Executive summary, overall Tier assessment, top gaps, recommendation.</t>
  </si>
  <si>
    <t xml:space="preserve">Template 9 - Remediation Plan</t>
  </si>
  <si>
    <t xml:space="preserve">Prioritized remediation roadmap with owners and timelines.</t>
  </si>
  <si>
    <t xml:space="preserve">Template 10 - Risk Register</t>
  </si>
  <si>
    <t xml:space="preserve">Living register of cybersecurity risks mapped to CSF functions/subcategories.</t>
  </si>
  <si>
    <t xml:space="preserve">Template 11 - Reassessment</t>
  </si>
  <si>
    <t xml:space="preserve">Your own reassessment cadence (e.g. annual) -- not a fixed certification cycle.</t>
  </si>
  <si>
    <t xml:space="preserve">Template 1 -- Assessment Plan</t>
  </si>
  <si>
    <t xml:space="preserve">Complete the header fields, then build the day-by-day schedule below. See Handbook Walkthrough A.</t>
  </si>
  <si>
    <t xml:space="preserve">Organization</t>
  </si>
  <si>
    <t xml:space="preserve">Acme Manufacturing Co. (EXAMPLE)</t>
  </si>
  <si>
    <t xml:space="preserve">Assessment Type</t>
  </si>
  <si>
    <t xml:space="preserve">Consultant-led gap assessment (EXAMPLE -- other options: Self-assessment; Vendor/customer-requested)</t>
  </si>
  <si>
    <t xml:space="preserve">Intended Use of Results</t>
  </si>
  <si>
    <t xml:space="preserve">Board risk reporting and cyber-insurance renewal application (EXAMPLE -- other examples: M&amp;A due diligence, vendor requirement)</t>
  </si>
  <si>
    <t xml:space="preserve">Scope</t>
  </si>
  <si>
    <t xml:space="preserve">Corporate IT and OT environments supporting the Springfield, IL manufacturing plant, excluding the recently-acquired Denver distribution subsidiary pending separate scoping (EXAMPLE)</t>
  </si>
  <si>
    <t xml:space="preserve">Assessment Objectives</t>
  </si>
  <si>
    <t xml:space="preserve">Establish a Current Profile against all 6 CSF 2.0 Functions; define a Target Profile; produce a prioritized remediation roadmap (EXAMPLE)</t>
  </si>
  <si>
    <t xml:space="preserve">Assessment Criteria</t>
  </si>
  <si>
    <t xml:space="preserve">NIST CSF 2.0 (CSWP 29), all 6 Functions / 22 Categories / 106 Subcategories in scope (EXAMPLE)</t>
  </si>
  <si>
    <t xml:space="preserve">Lead Assessor</t>
  </si>
  <si>
    <t xml:space="preserve">J. Rivera, Independent Consultant (EXAMPLE)</t>
  </si>
  <si>
    <t xml:space="preserve">Assessment Team / Control Owners</t>
  </si>
  <si>
    <t xml:space="preserve">M. Chen (IT Security Lead), D. Alvarez (Legal/Compliance), K. Osei (HR), T. Nguyen (CISO/Exec Sponsor) (EXAMPLE -- GOVERN and PR.AT categories need non-technical stakeholders, this is not security-team-only)</t>
  </si>
  <si>
    <t xml:space="preserve">Assessment Dates</t>
  </si>
  <si>
    <t xml:space="preserve">2026-09-08 to 2026-09-19 (EXAMPLE)</t>
  </si>
  <si>
    <t xml:space="preserve">Cadence / Next Reassessment</t>
  </si>
  <si>
    <t xml:space="preserve">Annual -- next full reassessment due 2027-09 (see Template 11) (EXAMPLE)</t>
  </si>
  <si>
    <t xml:space="preserve">Day-by-day schedule</t>
  </si>
  <si>
    <t xml:space="preserve">Date</t>
  </si>
  <si>
    <t xml:space="preserve">Time</t>
  </si>
  <si>
    <t xml:space="preserve">Function(s) / Category(ies) / Area</t>
  </si>
  <si>
    <t xml:space="preserve">Method (Interview/Doc review/Workshop)</t>
  </si>
  <si>
    <t xml:space="preserve">Assessor Assigned / Interviewee</t>
  </si>
  <si>
    <t xml:space="preserve">2026-09-08 (EXAMPLE)</t>
  </si>
  <si>
    <t xml:space="preserve">09:00</t>
  </si>
  <si>
    <t xml:space="preserve">Kickoff workshop; GOVERN (GV.OC, GV.RM, GV.RR)</t>
  </si>
  <si>
    <t xml:space="preserve">Workshop</t>
  </si>
  <si>
    <t xml:space="preserve">J. Rivera / T. Nguyen, D. Alvarez</t>
  </si>
  <si>
    <t xml:space="preserve">Template 2 -- Current Profile Checklist (all 106 CSF 2.0 Subcategories)</t>
  </si>
  <si>
    <t xml:space="preserve">Exact NIST codes and wording from CSWP 29, including intentional numbering gaps. Score reflects current practice, not policy text. See Handbook Walkthrough C.</t>
  </si>
  <si>
    <t xml:space="preserve">Function</t>
  </si>
  <si>
    <t xml:space="preserve">Category
Code</t>
  </si>
  <si>
    <t xml:space="preserve">Category Title</t>
  </si>
  <si>
    <t xml:space="preserve">Subcategory
Code</t>
  </si>
  <si>
    <t xml:space="preserve">Subcategory Description (verbatim, NIST CSWP 29)</t>
  </si>
  <si>
    <t xml:space="preserve">Current
Score (0-4)</t>
  </si>
  <si>
    <t xml:space="preserve">Evidence / Notes</t>
  </si>
  <si>
    <t xml:space="preserve">Assessor</t>
  </si>
  <si>
    <t xml:space="preserve">GOVERN (GV)</t>
  </si>
  <si>
    <t xml:space="preserve">GV.OC</t>
  </si>
  <si>
    <t xml:space="preserve">Organizational Context</t>
  </si>
  <si>
    <t xml:space="preserve">GV.OC-01</t>
  </si>
  <si>
    <t xml:space="preserve">The organizational mission is understood and informs cybersecurity risk management</t>
  </si>
  <si>
    <t xml:space="preserve">Interviewed org-context owner; mission statement and stakeholder list on file, reviewed annually (EXAMPLE)</t>
  </si>
  <si>
    <t xml:space="preserve">J. Rivera</t>
  </si>
  <si>
    <t xml:space="preserve">GV.OC-02</t>
  </si>
  <si>
    <t xml:space="preserve">Internal and external stakeholders are understood, and their needs and expectations regarding cybersecurity risk management are understood and considered</t>
  </si>
  <si>
    <t xml:space="preserve">GV.OC-03</t>
  </si>
  <si>
    <t xml:space="preserve">Legal, regulatory, and contractual requirements regarding cybersecurity — including privacy and civil liberties obligations — are understood and managed</t>
  </si>
  <si>
    <t xml:space="preserve">GV.OC-04</t>
  </si>
  <si>
    <t xml:space="preserve">Critical objectives, capabilities, and services that external stakeholders depend on or expect from the organization are understood and communicated</t>
  </si>
  <si>
    <t xml:space="preserve">GV.OC-05</t>
  </si>
  <si>
    <t xml:space="preserve">Outcomes, capabilities, and services that the organization depends on are understood and communicated</t>
  </si>
  <si>
    <t xml:space="preserve">GV.RM</t>
  </si>
  <si>
    <t xml:space="preserve">Risk Management Strategy</t>
  </si>
  <si>
    <t xml:space="preserve">GV.RM-01</t>
  </si>
  <si>
    <t xml:space="preserve">Risk management objectives are established and agreed to by organizational stakeholders</t>
  </si>
  <si>
    <t xml:space="preserve">GV.RM-02</t>
  </si>
  <si>
    <t xml:space="preserve">Risk appetite and risk tolerance statements are established, communicated, and maintained</t>
  </si>
  <si>
    <t xml:space="preserve">GV.RM-03</t>
  </si>
  <si>
    <t xml:space="preserve">Cybersecurity risk management activities and outcomes are included in enterprise risk management processes</t>
  </si>
  <si>
    <t xml:space="preserve">GV.RM-04</t>
  </si>
  <si>
    <t xml:space="preserve">Strategic direction that describes appropriate risk response options is established and communicated</t>
  </si>
  <si>
    <t xml:space="preserve">GV.RM-05</t>
  </si>
  <si>
    <t xml:space="preserve">Lines of communication across the organization are established for cybersecurity risks, including risks from suppliers and other third parties</t>
  </si>
  <si>
    <t xml:space="preserve">GV.RM-06</t>
  </si>
  <si>
    <t xml:space="preserve">A standardized method for calculating, documenting, categorizing, and prioritizing cybersecurity risks is established and communicated</t>
  </si>
  <si>
    <t xml:space="preserve">GV.RM-07</t>
  </si>
  <si>
    <t xml:space="preserve">Strategic opportunities (i.e., positive risks) are characterized and are included in organizational cybersecurity risk discussions</t>
  </si>
  <si>
    <t xml:space="preserve">GV.RR</t>
  </si>
  <si>
    <t xml:space="preserve">Roles, Responsibilities, and Authorities</t>
  </si>
  <si>
    <t xml:space="preserve">GV.RR-01</t>
  </si>
  <si>
    <t xml:space="preserve">Organizational leadership is responsible and accountable for cybersecurity risk and fosters a culture that is risk-aware, ethical, and continually improving</t>
  </si>
  <si>
    <t xml:space="preserve">GV.RR-02</t>
  </si>
  <si>
    <t xml:space="preserve">Roles, responsibilities, and authorities related to cybersecurity risk management are established, communicated, understood, and enforced</t>
  </si>
  <si>
    <t xml:space="preserve">GV.RR-03</t>
  </si>
  <si>
    <t xml:space="preserve">Adequate resources are allocated commensurate with the cybersecurity risk strategy, roles, responsibilities, and policies</t>
  </si>
  <si>
    <t xml:space="preserve">GV.RR-04</t>
  </si>
  <si>
    <t xml:space="preserve">Cybersecurity is included in human resources practices</t>
  </si>
  <si>
    <t xml:space="preserve">GV.PO</t>
  </si>
  <si>
    <t xml:space="preserve">Policy</t>
  </si>
  <si>
    <t xml:space="preserve">GV.PO-01</t>
  </si>
  <si>
    <t xml:space="preserve">Policy for managing cybersecurity risks is established based on organizational context, cybersecurity strategy, and priorities and is communicated and enforced</t>
  </si>
  <si>
    <t xml:space="preserve">GV.PO-02</t>
  </si>
  <si>
    <t xml:space="preserve">Policy for managing cybersecurity risks is reviewed, updated, communicated, and enforced to reflect changes in requirements, threats, technology, and organizational mission</t>
  </si>
  <si>
    <t xml:space="preserve">GV.OV</t>
  </si>
  <si>
    <t xml:space="preserve">Oversight</t>
  </si>
  <si>
    <t xml:space="preserve">GV.OV-01</t>
  </si>
  <si>
    <t xml:space="preserve">Cybersecurity risk management strategy outcomes are reviewed to inform and adjust strategy and direction</t>
  </si>
  <si>
    <t xml:space="preserve">GV.OV-02</t>
  </si>
  <si>
    <t xml:space="preserve">The cybersecurity risk management strategy is reviewed and adjusted to ensure coverage of organizational requirements and risks</t>
  </si>
  <si>
    <t xml:space="preserve">GV.OV-03</t>
  </si>
  <si>
    <t xml:space="preserve">Organizational cybersecurity risk management performance is evaluated and reviewed for adjustments needed</t>
  </si>
  <si>
    <t xml:space="preserve">GV.SC</t>
  </si>
  <si>
    <t xml:space="preserve">Cybersecurity Supply Chain Risk Management</t>
  </si>
  <si>
    <t xml:space="preserve">GV.SC-01</t>
  </si>
  <si>
    <t xml:space="preserve">A cybersecurity supply chain risk management program, strategy, objectives, policies, and processes are established and agreed to by organizational stakeholders</t>
  </si>
  <si>
    <t xml:space="preserve">GV.SC-02</t>
  </si>
  <si>
    <t xml:space="preserve">Cybersecurity roles and responsibilities for suppliers, customers, and partners are established, communicated, and coordinated internally and externally</t>
  </si>
  <si>
    <t xml:space="preserve">GV.SC-03</t>
  </si>
  <si>
    <t xml:space="preserve">Cybersecurity supply chain risk management is integrated into cybersecurity and enterprise risk management, risk assessment, and improvement processes</t>
  </si>
  <si>
    <t xml:space="preserve">GV.SC-04</t>
  </si>
  <si>
    <t xml:space="preserve">Suppliers are known and prioritized by criticality</t>
  </si>
  <si>
    <t xml:space="preserve">GV.SC-05</t>
  </si>
  <si>
    <t xml:space="preserve">Requirements to address cybersecurity risks in supply chains are established, prioritized, and integrated into contracts and other types of agreements with suppliers and other relevant third parties</t>
  </si>
  <si>
    <t xml:space="preserve">GV.SC-06</t>
  </si>
  <si>
    <t xml:space="preserve">Planning and due diligence are performed to reduce risks before entering into formal supplier or other third-party relationships</t>
  </si>
  <si>
    <t xml:space="preserve">GV.SC-07</t>
  </si>
  <si>
    <t xml:space="preserve">The risks posed by a supplier, their products and services, and other third parties are understood, recorded, prioritized, assessed, responded to, and monitored over the course of the relationship</t>
  </si>
  <si>
    <t xml:space="preserve">GV.SC-08</t>
  </si>
  <si>
    <t xml:space="preserve">Relevant suppliers and other third parties are included in incident planning, response, and recovery activities</t>
  </si>
  <si>
    <t xml:space="preserve">GV.SC-09</t>
  </si>
  <si>
    <t xml:space="preserve">Supply chain security practices are integrated into cybersecurity and enterprise risk management programs, and their performance is monitored throughout the technology product and service life cycle</t>
  </si>
  <si>
    <t xml:space="preserve">GV.SC-10</t>
  </si>
  <si>
    <t xml:space="preserve">Cybersecurity supply chain risk management plans include provisions for activities that occur after the conclusion of a partnership or service agreement</t>
  </si>
  <si>
    <t xml:space="preserve">IDENTIFY (ID)</t>
  </si>
  <si>
    <t xml:space="preserve">ID.AM</t>
  </si>
  <si>
    <t xml:space="preserve">Asset Management</t>
  </si>
  <si>
    <t xml:space="preserve">ID.AM-01</t>
  </si>
  <si>
    <t xml:space="preserve">Inventories of hardware managed by the organization are maintained</t>
  </si>
  <si>
    <t xml:space="preserve">ID.AM-02</t>
  </si>
  <si>
    <t xml:space="preserve">Inventories of software, services, and systems managed by the organization are maintained</t>
  </si>
  <si>
    <t xml:space="preserve">ID.AM-03</t>
  </si>
  <si>
    <t xml:space="preserve">Representations of the organization's authorized network communication and internal and external network data flows are maintained</t>
  </si>
  <si>
    <t xml:space="preserve">ID.AM-04</t>
  </si>
  <si>
    <t xml:space="preserve">Inventories of services provided by suppliers are maintained</t>
  </si>
  <si>
    <t xml:space="preserve">ID.AM-05</t>
  </si>
  <si>
    <t xml:space="preserve">Assets are prioritized based on classification, criticality, resources, and impact on the mission</t>
  </si>
  <si>
    <t xml:space="preserve">ID.AM-07</t>
  </si>
  <si>
    <t xml:space="preserve">Inventories of data and corresponding metadata for designated data types are maintained</t>
  </si>
  <si>
    <t xml:space="preserve">ID.AM-08</t>
  </si>
  <si>
    <t xml:space="preserve">Systems, hardware, software, services, and data are managed throughout their life cycles</t>
  </si>
  <si>
    <t xml:space="preserve">ID.RA</t>
  </si>
  <si>
    <t xml:space="preserve">Risk Assessment</t>
  </si>
  <si>
    <t xml:space="preserve">ID.RA-01</t>
  </si>
  <si>
    <t xml:space="preserve">Vulnerabilities in assets are identified, validated, and recorded</t>
  </si>
  <si>
    <t xml:space="preserve">ID.RA-02</t>
  </si>
  <si>
    <t xml:space="preserve">Cyber threat intelligence is received from information sharing forums and sources</t>
  </si>
  <si>
    <t xml:space="preserve">ID.RA-03</t>
  </si>
  <si>
    <t xml:space="preserve">Internal and external threats to the organization are identified and recorded</t>
  </si>
  <si>
    <t xml:space="preserve">ID.RA-04</t>
  </si>
  <si>
    <t xml:space="preserve">Potential impacts and likelihoods of threats exploiting vulnerabilities are identified and recorded</t>
  </si>
  <si>
    <t xml:space="preserve">ID.RA-05</t>
  </si>
  <si>
    <t xml:space="preserve">Threats, vulnerabilities, likelihoods, and impacts are used to understand inherent risk and inform risk response prioritization</t>
  </si>
  <si>
    <t xml:space="preserve">ID.RA-06</t>
  </si>
  <si>
    <t xml:space="preserve">Risk responses are chosen, prioritized, planned, tracked, and communicated</t>
  </si>
  <si>
    <t xml:space="preserve">ID.RA-07</t>
  </si>
  <si>
    <t xml:space="preserve">Changes and exceptions are managed, assessed for risk impact, recorded, and tracked</t>
  </si>
  <si>
    <t xml:space="preserve">ID.RA-08</t>
  </si>
  <si>
    <t xml:space="preserve">Processes for receiving, analyzing, and responding to vulnerability disclosures are established</t>
  </si>
  <si>
    <t xml:space="preserve">ID.RA-09</t>
  </si>
  <si>
    <t xml:space="preserve">The authenticity and integrity of hardware and software are assessed prior to acquisition and use</t>
  </si>
  <si>
    <t xml:space="preserve">ID.RA-10</t>
  </si>
  <si>
    <t xml:space="preserve">Critical suppliers are assessed prior to acquisition</t>
  </si>
  <si>
    <t xml:space="preserve">ID.IM</t>
  </si>
  <si>
    <t xml:space="preserve">Improvement</t>
  </si>
  <si>
    <t xml:space="preserve">ID.IM-01</t>
  </si>
  <si>
    <t xml:space="preserve">Improvements are identified from evaluations</t>
  </si>
  <si>
    <t xml:space="preserve">ID.IM-02</t>
  </si>
  <si>
    <t xml:space="preserve">Improvements are identified from security tests and exercises, including those done in coordination with suppliers and relevant third parties</t>
  </si>
  <si>
    <t xml:space="preserve">ID.IM-03</t>
  </si>
  <si>
    <t xml:space="preserve">Improvements are identified from execution of operational processes, procedures, and activities</t>
  </si>
  <si>
    <t xml:space="preserve">ID.IM-04</t>
  </si>
  <si>
    <t xml:space="preserve">Incident response plans and other cybersecurity plans that affect operations are established, communicated, maintained, and improved</t>
  </si>
  <si>
    <t xml:space="preserve">PROTECT (PR)</t>
  </si>
  <si>
    <t xml:space="preserve">PR.AA</t>
  </si>
  <si>
    <t xml:space="preserve">Identity Management, Authentication, and Access Control</t>
  </si>
  <si>
    <t xml:space="preserve">PR.AA-01</t>
  </si>
  <si>
    <t xml:space="preserve">Identities and credentials for authorized users, services, and hardware are managed by the organization</t>
  </si>
  <si>
    <t xml:space="preserve">PR.AA-02</t>
  </si>
  <si>
    <t xml:space="preserve">Identities are proofed and bound to credentials based on the context of interactions</t>
  </si>
  <si>
    <t xml:space="preserve">PR.AA-03</t>
  </si>
  <si>
    <t xml:space="preserve">Users, services, and hardware are authenticated</t>
  </si>
  <si>
    <t xml:space="preserve">PR.AA-04</t>
  </si>
  <si>
    <t xml:space="preserve">Identity assertions are protected, conveyed, and verified</t>
  </si>
  <si>
    <t xml:space="preserve">PR.AA-05</t>
  </si>
  <si>
    <t xml:space="preserve">Access permissions, entitlements, and authorizations are defined in a policy, managed, enforced, and reviewed, and incorporate the principles of least privilege and separation of duties</t>
  </si>
  <si>
    <t xml:space="preserve">PR.AA-06</t>
  </si>
  <si>
    <t xml:space="preserve">Physical access to assets is managed, monitored, and enforced commensurate with risk</t>
  </si>
  <si>
    <t xml:space="preserve">PR.AT</t>
  </si>
  <si>
    <t xml:space="preserve">Awareness and Training</t>
  </si>
  <si>
    <t xml:space="preserve">PR.AT-01</t>
  </si>
  <si>
    <t xml:space="preserve">Personnel are provided with awareness and training so that they possess the knowledge and skills to perform general tasks with cybersecurity risks in mind</t>
  </si>
  <si>
    <t xml:space="preserve">PR.AT-02</t>
  </si>
  <si>
    <t xml:space="preserve">Individuals in specialized roles are provided with awareness and training so that they possess the knowledge and skills to perform relevant tasks with cybersecurity risks in mind</t>
  </si>
  <si>
    <t xml:space="preserve">PR.DS</t>
  </si>
  <si>
    <t xml:space="preserve">Data Security</t>
  </si>
  <si>
    <t xml:space="preserve">PR.DS-01</t>
  </si>
  <si>
    <t xml:space="preserve">The confidentiality, integrity, and availability of data-at-rest are protected</t>
  </si>
  <si>
    <t xml:space="preserve">PR.DS-02</t>
  </si>
  <si>
    <t xml:space="preserve">The confidentiality, integrity, and availability of data-in-transit are protected</t>
  </si>
  <si>
    <t xml:space="preserve">PR.DS-10</t>
  </si>
  <si>
    <t xml:space="preserve">The confidentiality, integrity, and availability of data-in-use are protected</t>
  </si>
  <si>
    <t xml:space="preserve">PR.DS-11</t>
  </si>
  <si>
    <t xml:space="preserve">Backups of data are created, protected, maintained, and tested</t>
  </si>
  <si>
    <t xml:space="preserve">PR.PS</t>
  </si>
  <si>
    <t xml:space="preserve">Platform Security</t>
  </si>
  <si>
    <t xml:space="preserve">PR.PS-01</t>
  </si>
  <si>
    <t xml:space="preserve">Configuration management practices are established and applied</t>
  </si>
  <si>
    <t xml:space="preserve">PR.PS-02</t>
  </si>
  <si>
    <t xml:space="preserve">Software is maintained, replaced, and removed commensurate with risk</t>
  </si>
  <si>
    <t xml:space="preserve">PR.PS-03</t>
  </si>
  <si>
    <t xml:space="preserve">Hardware is maintained, replaced, and removed commensurate with risk</t>
  </si>
  <si>
    <t xml:space="preserve">PR.PS-04</t>
  </si>
  <si>
    <t xml:space="preserve">Log records are generated and made available for continuous monitoring</t>
  </si>
  <si>
    <t xml:space="preserve">PR.PS-05</t>
  </si>
  <si>
    <t xml:space="preserve">Installation and execution of unauthorized software are prevented</t>
  </si>
  <si>
    <t xml:space="preserve">PR.PS-06</t>
  </si>
  <si>
    <t xml:space="preserve">Secure software development practices are integrated, and their performance is monitored throughout the software development life cycle</t>
  </si>
  <si>
    <t xml:space="preserve">PR.IR</t>
  </si>
  <si>
    <t xml:space="preserve">Technology Infrastructure Resilience</t>
  </si>
  <si>
    <t xml:space="preserve">PR.IR-01</t>
  </si>
  <si>
    <t xml:space="preserve">Networks and environments are protected from unauthorized logical access and usage</t>
  </si>
  <si>
    <t xml:space="preserve">PR.IR-02</t>
  </si>
  <si>
    <t xml:space="preserve">The organization's technology assets are protected from environmental threats</t>
  </si>
  <si>
    <t xml:space="preserve">PR.IR-03</t>
  </si>
  <si>
    <t xml:space="preserve">Mechanisms are implemented to achieve resilience requirements in normal and adverse situations</t>
  </si>
  <si>
    <t xml:space="preserve">PR.IR-04</t>
  </si>
  <si>
    <t xml:space="preserve">Adequate resource capacity to ensure availability is maintained</t>
  </si>
  <si>
    <t xml:space="preserve">DETECT (DE)</t>
  </si>
  <si>
    <t xml:space="preserve">DE.CM</t>
  </si>
  <si>
    <t xml:space="preserve">Continuous Monitoring</t>
  </si>
  <si>
    <t xml:space="preserve">DE.CM-01</t>
  </si>
  <si>
    <t xml:space="preserve">Networks and network services are monitored to find potentially adverse events</t>
  </si>
  <si>
    <t xml:space="preserve">DE.CM-02</t>
  </si>
  <si>
    <t xml:space="preserve">The physical environment is monitored to find potentially adverse events</t>
  </si>
  <si>
    <t xml:space="preserve">DE.CM-03</t>
  </si>
  <si>
    <t xml:space="preserve">Personnel activity and technology usage are monitored to find potentially adverse events</t>
  </si>
  <si>
    <t xml:space="preserve">DE.CM-06</t>
  </si>
  <si>
    <t xml:space="preserve">External service provider activities and services are monitored to find potentially adverse events</t>
  </si>
  <si>
    <t xml:space="preserve">DE.CM-09</t>
  </si>
  <si>
    <t xml:space="preserve">Computing hardware and software, runtime environments, and their data are monitored to find potentially adverse events</t>
  </si>
  <si>
    <t xml:space="preserve">DE.AE</t>
  </si>
  <si>
    <t xml:space="preserve">Adverse Event Analysis</t>
  </si>
  <si>
    <t xml:space="preserve">DE.AE-02</t>
  </si>
  <si>
    <t xml:space="preserve">Potentially adverse events are analyzed to better understand associated activities</t>
  </si>
  <si>
    <t xml:space="preserve">DE.AE-03</t>
  </si>
  <si>
    <t xml:space="preserve">Information is correlated from multiple sources</t>
  </si>
  <si>
    <t xml:space="preserve">DE.AE-04</t>
  </si>
  <si>
    <t xml:space="preserve">The estimated impact and scope of adverse events are understood</t>
  </si>
  <si>
    <t xml:space="preserve">DE.AE-06</t>
  </si>
  <si>
    <t xml:space="preserve">Information on adverse events is provided to authorized staff and tools</t>
  </si>
  <si>
    <t xml:space="preserve">DE.AE-07</t>
  </si>
  <si>
    <t xml:space="preserve">Cyber threat intelligence and other contextual information are integrated into the analysis</t>
  </si>
  <si>
    <t xml:space="preserve">DE.AE-08</t>
  </si>
  <si>
    <t xml:space="preserve">Incidents are declared when adverse events meet the defined incident criteria</t>
  </si>
  <si>
    <t xml:space="preserve">RESPOND (RS)</t>
  </si>
  <si>
    <t xml:space="preserve">RS.MA</t>
  </si>
  <si>
    <t xml:space="preserve">Incident Management</t>
  </si>
  <si>
    <t xml:space="preserve">RS.MA-01</t>
  </si>
  <si>
    <t xml:space="preserve">The incident response plan is executed in coordination with relevant third parties once an incident is declared</t>
  </si>
  <si>
    <t xml:space="preserve">RS.MA-02</t>
  </si>
  <si>
    <t xml:space="preserve">Incident reports are triaged and validated</t>
  </si>
  <si>
    <t xml:space="preserve">RS.MA-03</t>
  </si>
  <si>
    <t xml:space="preserve">Incidents are categorized and prioritized</t>
  </si>
  <si>
    <t xml:space="preserve">RS.MA-04</t>
  </si>
  <si>
    <t xml:space="preserve">Incidents are escalated or elevated as needed</t>
  </si>
  <si>
    <t xml:space="preserve">RS.MA-05</t>
  </si>
  <si>
    <t xml:space="preserve">The criteria for initiating incident recovery are applied</t>
  </si>
  <si>
    <t xml:space="preserve">RS.AN</t>
  </si>
  <si>
    <t xml:space="preserve">Incident Analysis</t>
  </si>
  <si>
    <t xml:space="preserve">RS.AN-03</t>
  </si>
  <si>
    <t xml:space="preserve">Analysis is performed to establish what has taken place during an incident and the root cause of the incident</t>
  </si>
  <si>
    <t xml:space="preserve">RS.AN-06</t>
  </si>
  <si>
    <t xml:space="preserve">Actions performed during an investigation are recorded, and the records' integrity and provenance are preserved</t>
  </si>
  <si>
    <t xml:space="preserve">RS.AN-07</t>
  </si>
  <si>
    <t xml:space="preserve">Incident data and metadata are collected, and their integrity and provenance are preserved</t>
  </si>
  <si>
    <t xml:space="preserve">RS.AN-08</t>
  </si>
  <si>
    <t xml:space="preserve">An incident's magnitude is estimated and validated</t>
  </si>
  <si>
    <t xml:space="preserve">RS.CO</t>
  </si>
  <si>
    <t xml:space="preserve">Incident Response Reporting and Communication</t>
  </si>
  <si>
    <t xml:space="preserve">RS.CO-02</t>
  </si>
  <si>
    <t xml:space="preserve">Internal and external stakeholders are notified of incidents</t>
  </si>
  <si>
    <t xml:space="preserve">RS.CO-03</t>
  </si>
  <si>
    <t xml:space="preserve">Information is shared with designated internal and external stakeholders</t>
  </si>
  <si>
    <t xml:space="preserve">RS.MI</t>
  </si>
  <si>
    <t xml:space="preserve">Incident Mitigation</t>
  </si>
  <si>
    <t xml:space="preserve">RS.MI-01</t>
  </si>
  <si>
    <t xml:space="preserve">Incidents are contained</t>
  </si>
  <si>
    <t xml:space="preserve">RS.MI-02</t>
  </si>
  <si>
    <t xml:space="preserve">Incidents are eradicated</t>
  </si>
  <si>
    <t xml:space="preserve">RECOVER (RC)</t>
  </si>
  <si>
    <t xml:space="preserve">RC.RP</t>
  </si>
  <si>
    <t xml:space="preserve">Incident Recovery Plan Execution</t>
  </si>
  <si>
    <t xml:space="preserve">RC.RP-01</t>
  </si>
  <si>
    <t xml:space="preserve">The recovery portion of the incident response plan is executed once initiated from the incident response process</t>
  </si>
  <si>
    <t xml:space="preserve">RC.RP-02</t>
  </si>
  <si>
    <t xml:space="preserve">Recovery actions are selected, scoped, prioritized, and performed</t>
  </si>
  <si>
    <t xml:space="preserve">RC.RP-03</t>
  </si>
  <si>
    <t xml:space="preserve">The integrity of backups and other restoration assets is verified before using them for restoration</t>
  </si>
  <si>
    <t xml:space="preserve">RC.RP-04</t>
  </si>
  <si>
    <t xml:space="preserve">Critical mission functions and cybersecurity risk management are considered to establish post-incident operational norms</t>
  </si>
  <si>
    <t xml:space="preserve">RC.RP-05</t>
  </si>
  <si>
    <t xml:space="preserve">The integrity of restored assets is verified, systems and services are restored, and normal operating status is confirmed</t>
  </si>
  <si>
    <t xml:space="preserve">RC.RP-06</t>
  </si>
  <si>
    <t xml:space="preserve">The end of incident recovery is declared based on criteria, and incident-related documentation is completed</t>
  </si>
  <si>
    <t xml:space="preserve">RC.CO</t>
  </si>
  <si>
    <t xml:space="preserve">Incident Recovery Communication</t>
  </si>
  <si>
    <t xml:space="preserve">RC.CO-03</t>
  </si>
  <si>
    <t xml:space="preserve">Recovery activities and progress in restoring operational capabilities are communicated to designated internal and external stakeholders</t>
  </si>
  <si>
    <t xml:space="preserve">RC.CO-04</t>
  </si>
  <si>
    <t xml:space="preserve">Public updates on incident recovery are shared using approved methods and messaging</t>
  </si>
  <si>
    <t xml:space="preserve">Template 3 -- Target Profile &amp; Tier Selection</t>
  </si>
  <si>
    <t xml:space="preserve">Define the desired outcomes based on risk appetite, threat intel, and regulatory need. See Handbook Walkthrough E.</t>
  </si>
  <si>
    <t xml:space="preserve">Reference: the 4 official NIST Implementation Tiers (organization-wide governance rigor, NOT a per-subcategory score)</t>
  </si>
  <si>
    <t xml:space="preserve">Tier</t>
  </si>
  <si>
    <t xml:space="preserve">Name</t>
  </si>
  <si>
    <t xml:space="preserve">Description</t>
  </si>
  <si>
    <t xml:space="preserve">Tier 1</t>
  </si>
  <si>
    <t xml:space="preserve">Partial</t>
  </si>
  <si>
    <t xml:space="preserve">Ad hoc, reactive risk management; limited organizational awareness; irregular, case-by-case implementation.</t>
  </si>
  <si>
    <t xml:space="preserve">Tier 2</t>
  </si>
  <si>
    <t xml:space="preserve">Risk Informed</t>
  </si>
  <si>
    <t xml:space="preserve">Risk management approved by management but not yet organization-wide policy; prioritization directly informed by risk objectives but no org-wide approach yet.</t>
  </si>
  <si>
    <t xml:space="preserve">Tier 3</t>
  </si>
  <si>
    <t xml:space="preserve">Repeatable</t>
  </si>
  <si>
    <t xml:space="preserve">Formally approved and expressed as policy; organization-wide approach; consistent methods for responding to risk changes; personnel have needed knowledge/skills.</t>
  </si>
  <si>
    <t xml:space="preserve">Tier 4</t>
  </si>
  <si>
    <t xml:space="preserve">Adaptive</t>
  </si>
  <si>
    <t xml:space="preserve">Adapts based on lessons learned and predictive indicators; continuous improvement; risk-informed policies are part of organizational culture; timely response to emerging threats.</t>
  </si>
  <si>
    <t xml:space="preserve">Section A -- Overall Organizational Target</t>
  </si>
  <si>
    <t xml:space="preserve">Selected Overall Target Tier</t>
  </si>
  <si>
    <t xml:space="preserve">Tier 3 - Repeatable (EXAMPLE)</t>
  </si>
  <si>
    <t xml:space="preserve">Target Timeframe</t>
  </si>
  <si>
    <t xml:space="preserve">Within 12 months (EXAMPLE)</t>
  </si>
  <si>
    <t xml:space="preserve">Business Driver / Rationale</t>
  </si>
  <si>
    <t xml:space="preserve">Cyber-insurance underwriter and two enterprise customers now require evidence of a formally-approved, organization-wide cybersecurity risk program (EXAMPLE)</t>
  </si>
  <si>
    <t xml:space="preserve">Section B -- Target Tier per Function</t>
  </si>
  <si>
    <t xml:space="preserve">Target Tier</t>
  </si>
  <si>
    <t xml:space="preserve">Rationale / Notes</t>
  </si>
  <si>
    <t xml:space="preserve">Tier 3 - Repeatable</t>
  </si>
  <si>
    <t xml:space="preserve">EXAMPLE: Board-level reporting requirement makes GOVERN the top priority</t>
  </si>
  <si>
    <t xml:space="preserve">Section C -- Target Score per Category (0-4 scale, assessor convention -- feeds Template 4 Gap Analysis)</t>
  </si>
  <si>
    <t xml:space="preserve">Category Code</t>
  </si>
  <si>
    <t xml:space="preserve">Target Score (0-4)</t>
  </si>
  <si>
    <t xml:space="preserve">Template 4 -- Gap Analysis &amp; Heat Map</t>
  </si>
  <si>
    <t xml:space="preserve">Current vs Target vs Gap, rolled up by Category and by Function. See Handbook Walkthrough F.</t>
  </si>
  <si>
    <t xml:space="preserve">Category-level gap analysis (22 categories)</t>
  </si>
  <si>
    <t xml:space="preserve">Current Avg
Score (0-4)</t>
  </si>
  <si>
    <t xml:space="preserve">Target Score
(0-4)</t>
  </si>
  <si>
    <t xml:space="preserve">Gap
(Target-Current)</t>
  </si>
  <si>
    <t xml:space="preserve">Priority</t>
  </si>
  <si>
    <t xml:space="preserve">Notes</t>
  </si>
  <si>
    <t xml:space="preserve">Function-level rollup (6 functions)</t>
  </si>
  <si>
    <t xml:space="preserve">Target Tier
(from Tmpl 3)</t>
  </si>
  <si>
    <t xml:space="preserve">Gap Summary</t>
  </si>
  <si>
    <t xml:space="preserve">Template 5 -- Evidence Log</t>
  </si>
  <si>
    <t xml:space="preserve">Log evidence as you gather it -- interviews, documents, configs, logs. See Handbook Walkthrough D.</t>
  </si>
  <si>
    <t xml:space="preserve">Evidence ID</t>
  </si>
  <si>
    <t xml:space="preserve">Date / Time</t>
  </si>
  <si>
    <t xml:space="preserve">Source (Person / Document)</t>
  </si>
  <si>
    <t xml:space="preserve">Subcategory /
Function Ref</t>
  </si>
  <si>
    <t xml:space="preserve">Description of Evidence Examined</t>
  </si>
  <si>
    <t xml:space="preserve">Supports</t>
  </si>
  <si>
    <t xml:space="preserve">EV-001 (EXAMPLE)</t>
  </si>
  <si>
    <t xml:space="preserve">2026-09-09 10:15</t>
  </si>
  <si>
    <t xml:space="preserve">Interview: T. Nguyen, CISO</t>
  </si>
  <si>
    <t xml:space="preserve">Walked through the Board-approved risk appetite statement (v2, dated 2026-01-15) and confirmed it is referenced in the annual risk review</t>
  </si>
  <si>
    <t xml:space="preserve">Supports Current Score</t>
  </si>
  <si>
    <t xml:space="preserve">Template 6 -- Findings &amp; Risk Tracker</t>
  </si>
  <si>
    <t xml:space="preserve">Gaps between current and target practice. Priority is High/Medium/Low -- this is a gap assessment, not an ISO nonconformity audit. See Handbook Walkthrough G.</t>
  </si>
  <si>
    <t xml:space="preserve">Finding ID</t>
  </si>
  <si>
    <t xml:space="preserve">Date Raised</t>
  </si>
  <si>
    <t xml:space="preserve">Subcategory
Ref</t>
  </si>
  <si>
    <t xml:space="preserve">Gap / Finding Description</t>
  </si>
  <si>
    <t xml:space="preserve">Evidence</t>
  </si>
  <si>
    <t xml:space="preserve">Recommendation</t>
  </si>
  <si>
    <t xml:space="preserve">Owner</t>
  </si>
  <si>
    <t xml:space="preserve">Target Date</t>
  </si>
  <si>
    <t xml:space="preserve">Status</t>
  </si>
  <si>
    <t xml:space="preserve">F-001</t>
  </si>
  <si>
    <t xml:space="preserve">2026-09-10</t>
  </si>
  <si>
    <t xml:space="preserve">No formal process exists for receiving or triaging external vulnerability disclosures (e.g. from researchers or customers)</t>
  </si>
  <si>
    <t xml:space="preserve">Interview with IT Manager; no disclosure inbox, policy, or intake log found (EV-014)</t>
  </si>
  <si>
    <t xml:space="preserve">High</t>
  </si>
  <si>
    <t xml:space="preserve">Stand up a security@ disclosure mailbox with a documented SLA; publish a basic disclosure policy</t>
  </si>
  <si>
    <t xml:space="preserve">M. Chen</t>
  </si>
  <si>
    <t xml:space="preserve">2026-11-30</t>
  </si>
  <si>
    <t xml:space="preserve">Open</t>
  </si>
  <si>
    <t xml:space="preserve">Template 7 -- Stakeholder Interview &amp; Workshop Agenda</t>
  </si>
  <si>
    <t xml:space="preserve">Cover non-technical stakeholders too -- GOVERN and PR.AT categories need legal, HR and executive input, not just IT/security. See Handbook Walkthrough B.</t>
  </si>
  <si>
    <t xml:space="preserve">Stakeholder / Role</t>
  </si>
  <si>
    <t xml:space="preserve">Function(s)/Category(ies) Covered</t>
  </si>
  <si>
    <t xml:space="preserve">Sample Questions</t>
  </si>
  <si>
    <t xml:space="preserve">Interviewer</t>
  </si>
  <si>
    <t xml:space="preserve">CISO / Head of Security (EXAMPLE)</t>
  </si>
  <si>
    <t xml:space="preserve">GV.RM, GV.OV, GV.RR, DE.CM</t>
  </si>
  <si>
    <t xml:space="preserve">2026-09-08 10:00</t>
  </si>
  <si>
    <t xml:space="preserve">How is cybersecurity risk appetite set and communicated? Walk me through your last incident, start to finish. How do you know your monitoring tools are actually catching things?</t>
  </si>
  <si>
    <t xml:space="preserve">General Counsel / Legal</t>
  </si>
  <si>
    <t xml:space="preserve">GV.OC-03, GV.SC, RS.CO</t>
  </si>
  <si>
    <t xml:space="preserve">What regulatory/contractual cybersecurity obligations apply to us today? How are third-party/vendor contracts reviewed for cybersecurity requirements?</t>
  </si>
  <si>
    <t xml:space="preserve">HR Director</t>
  </si>
  <si>
    <t xml:space="preserve">GV.RR-04, PR.AT</t>
  </si>
  <si>
    <t xml:space="preserve">Is cybersecurity part of onboarding/offboarding? How is security awareness training tracked and enforced?</t>
  </si>
  <si>
    <t xml:space="preserve">IT Operations Manager</t>
  </si>
  <si>
    <t xml:space="preserve">ID.AM, PR.PS, PR.IR, DE.CM</t>
  </si>
  <si>
    <t xml:space="preserve">How do you know what hardware/software exists in the environment right now? Walk me through a recent patch cycle.</t>
  </si>
  <si>
    <t xml:space="preserve">Executive Sponsor / CEO or COO</t>
  </si>
  <si>
    <t xml:space="preserve">GV.OC, GV.RM, GV.OV</t>
  </si>
  <si>
    <t xml:space="preserve">How does the board receive cybersecurity risk updates? What's driving this assessment (insurance, customer, M&amp;A)?</t>
  </si>
  <si>
    <t xml:space="preserve">Data/Privacy Officer</t>
  </si>
  <si>
    <t xml:space="preserve">PR.DS, ID.AM-07</t>
  </si>
  <si>
    <t xml:space="preserve">How is sensitive data classified and tracked? What happens to data when it's no longer needed?</t>
  </si>
  <si>
    <t xml:space="preserve">Template 8 -- Assessment Report Summary</t>
  </si>
  <si>
    <t xml:space="preserve">Attach Templates 2-6 as supporting working papers. This is a gap/maturity report, not a certification recommendation. See Handbook Walkthrough J.</t>
  </si>
  <si>
    <t xml:space="preserve">Assessment Scope</t>
  </si>
  <si>
    <t xml:space="preserve">Assessment Team</t>
  </si>
  <si>
    <t xml:space="preserve">Overall Current Tier Assessment</t>
  </si>
  <si>
    <t xml:space="preserve">Overall Target Tier</t>
  </si>
  <si>
    <t xml:space="preserve">Executive Summary</t>
  </si>
  <si>
    <t xml:space="preserve">Top 5 Gaps (by priority)</t>
  </si>
  <si>
    <t xml:space="preserve">Recommendation / Suggested Next Steps</t>
  </si>
  <si>
    <t xml:space="preserve">Findings Summary by Priority</t>
  </si>
  <si>
    <t xml:space="preserve">Count</t>
  </si>
  <si>
    <t xml:space="preserve">Medium</t>
  </si>
  <si>
    <t xml:space="preserve">Low</t>
  </si>
  <si>
    <t xml:space="preserve">Lead Assessor Signature / Date</t>
  </si>
  <si>
    <t xml:space="preserve">Reviewed By (if consultant-led: engagement manager; if self-assessed: exec sponsor)</t>
  </si>
  <si>
    <t xml:space="preserve">Template 9 -- Remediation Roadmap Tracker</t>
  </si>
  <si>
    <t xml:space="preserve">Prioritized actions to close gaps identified in Template 6, with owners and timelines. See Handbook Walkthrough H.</t>
  </si>
  <si>
    <t xml:space="preserve">Finding ID
(Tmpl 6)</t>
  </si>
  <si>
    <t xml:space="preserve">Recommended Action</t>
  </si>
  <si>
    <t xml:space="preserve">Success Criteria / Evidence of Completion</t>
  </si>
  <si>
    <t xml:space="preserve">Target Start</t>
  </si>
  <si>
    <t xml:space="preserve">Target Completion</t>
  </si>
  <si>
    <t xml:space="preserve">Stand up a security@ disclosure mailbox; publish a coordinated vulnerability disclosure policy; assign a triage owner</t>
  </si>
  <si>
    <t xml:space="preserve">Policy published on public site; mailbox monitored with documented SLA; first test submission triaged within SLA (EXAMPLE)</t>
  </si>
  <si>
    <t xml:space="preserve">2026-10-01</t>
  </si>
  <si>
    <t xml:space="preserve">In Progress</t>
  </si>
  <si>
    <t xml:space="preserve">Template 10 -- Cybersecurity Risk Register</t>
  </si>
  <si>
    <t xml:space="preserve">A living record across assessment cycles -- update every year. See Handbook Walkthrough I.</t>
  </si>
  <si>
    <t xml:space="preserve">Risk Title</t>
  </si>
  <si>
    <t xml:space="preserve">Risk Description</t>
  </si>
  <si>
    <t xml:space="preserve">Related Function /
Subcategory</t>
  </si>
  <si>
    <t xml:space="preserve">Category</t>
  </si>
  <si>
    <t xml:space="preserve">Likelihood
(1-5)</t>
  </si>
  <si>
    <t xml:space="preserve">Impact
(1-5)</t>
  </si>
  <si>
    <t xml:space="preserve">Risk Rating
(L x I)</t>
  </si>
  <si>
    <t xml:space="preserve">Existing Controls</t>
  </si>
  <si>
    <t xml:space="preserve">Residual
Rating</t>
  </si>
  <si>
    <t xml:space="preserve">Last Reviewed</t>
  </si>
  <si>
    <t xml:space="preserve">Unpatched internet-facing VPN appliance (EXAMPLE)</t>
  </si>
  <si>
    <t xml:space="preserve">Known CVE on the plant's remote-access VPN concentrator has not been patched due to change-freeze policy</t>
  </si>
  <si>
    <t xml:space="preserve">PR.PS-02, ID.RA-01</t>
  </si>
  <si>
    <t xml:space="preserve">Vulnerability Management</t>
  </si>
  <si>
    <t xml:space="preserve">Compensating network segmentation; monitored by MSSP</t>
  </si>
  <si>
    <t xml:space="preserve">2026-09-12</t>
  </si>
  <si>
    <t xml:space="preserve">Template 11 -- Reassessment Schedule</t>
  </si>
  <si>
    <t xml:space="preserve">Set your own cadence (e.g. annual) -- there is no fixed certification cycle to follow. See Handbook Walkthrough K.</t>
  </si>
  <si>
    <t xml:space="preserve">Reassessment Cadence</t>
  </si>
  <si>
    <t xml:space="preserve">Annual, full scope (EXAMPLE -- some organizations do a lighter interim check every 6 months for high-priority functions only)</t>
  </si>
  <si>
    <t xml:space="preserve">Trigger Events (in addition to cadence)</t>
  </si>
  <si>
    <t xml:space="preserve">Major incident; new regulation; M&amp;A; new cyber-insurance renewal; significant infrastructure change (EXAMPLE)</t>
  </si>
  <si>
    <t xml:space="preserve">Function / Category</t>
  </si>
  <si>
    <t xml:space="preserve">Review Frequency</t>
  </si>
  <si>
    <t xml:space="preserve">Next Due</t>
  </si>
  <si>
    <t xml:space="preserve">Notes / Priority</t>
  </si>
  <si>
    <t xml:space="preserve">GOVERN (GV) (EXAMPLE)</t>
  </si>
  <si>
    <t xml:space="preserve">Annual</t>
  </si>
  <si>
    <t xml:space="preserve">2026-09-19</t>
  </si>
  <si>
    <t xml:space="preserve">2027-09</t>
  </si>
  <si>
    <t xml:space="preserve">Board reporting driver -- keep on annual full-scope cycle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</si>
</sst>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3"/>
      <color rgb="FFC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3"/>
      <color rgb="FF2E5395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2E5395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2"/>
  </cols>
  <sheetData>
    <row r="1" customFormat="false" ht="27.75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4" customFormat="false" ht="16.15" hidden="false" customHeight="false" outlineLevel="0" collapsed="false">
      <c r="A4" s="4" t="s">
        <v>2</v>
      </c>
    </row>
    <row r="5" customFormat="false" ht="60" hidden="false" customHeight="true" outlineLevel="0" collapsed="false">
      <c r="A5" s="5" t="s">
        <v>3</v>
      </c>
      <c r="B5" s="5"/>
    </row>
    <row r="7" customFormat="false" ht="16.15" hidden="false" customHeight="false" outlineLevel="0" collapsed="false">
      <c r="A7" s="6" t="s">
        <v>4</v>
      </c>
    </row>
    <row r="8" customFormat="false" ht="33.75" hidden="false" customHeight="true" outlineLevel="0" collapsed="false">
      <c r="A8" s="7" t="s">
        <v>5</v>
      </c>
      <c r="B8" s="8" t="s">
        <v>6</v>
      </c>
    </row>
    <row r="10" customFormat="false" ht="33.75" hidden="false" customHeight="true" outlineLevel="0" collapsed="false">
      <c r="A10" s="7" t="s">
        <v>7</v>
      </c>
      <c r="B10" s="8" t="s">
        <v>8</v>
      </c>
    </row>
    <row r="12" customFormat="false" ht="33.75" hidden="false" customHeight="true" outlineLevel="0" collapsed="false">
      <c r="A12" s="7" t="s">
        <v>9</v>
      </c>
      <c r="B12" s="8" t="s">
        <v>10</v>
      </c>
    </row>
    <row r="14" customFormat="false" ht="33.75" hidden="false" customHeight="true" outlineLevel="0" collapsed="false">
      <c r="A14" s="7" t="s">
        <v>11</v>
      </c>
      <c r="B14" s="8" t="s">
        <v>12</v>
      </c>
    </row>
    <row r="16" customFormat="false" ht="33.75" hidden="false" customHeight="true" outlineLevel="0" collapsed="false">
      <c r="A16" s="7" t="s">
        <v>13</v>
      </c>
      <c r="B16" s="8" t="s">
        <v>14</v>
      </c>
    </row>
    <row r="18" customFormat="false" ht="33.75" hidden="false" customHeight="true" outlineLevel="0" collapsed="false">
      <c r="A18" s="7" t="s">
        <v>15</v>
      </c>
      <c r="B18" s="8" t="s">
        <v>16</v>
      </c>
    </row>
    <row r="20" customFormat="false" ht="33.75" hidden="false" customHeight="true" outlineLevel="0" collapsed="false">
      <c r="A20" s="7" t="s">
        <v>17</v>
      </c>
      <c r="B20" s="8" t="s">
        <v>18</v>
      </c>
    </row>
    <row r="22" customFormat="false" ht="33.75" hidden="false" customHeight="true" outlineLevel="0" collapsed="false">
      <c r="A22" s="7" t="s">
        <v>19</v>
      </c>
      <c r="B22" s="8" t="s">
        <v>20</v>
      </c>
    </row>
    <row r="25" customFormat="false" ht="16.15" hidden="false" customHeight="false" outlineLevel="0" collapsed="false">
      <c r="A25" s="6" t="s">
        <v>21</v>
      </c>
    </row>
    <row r="26" customFormat="false" ht="21.75" hidden="false" customHeight="true" outlineLevel="0" collapsed="false">
      <c r="A26" s="9" t="s">
        <v>22</v>
      </c>
      <c r="B26" s="9" t="s">
        <v>23</v>
      </c>
    </row>
    <row r="27" customFormat="false" ht="27.75" hidden="false" customHeight="true" outlineLevel="0" collapsed="false">
      <c r="A27" s="10" t="s">
        <v>24</v>
      </c>
      <c r="B27" s="10" t="s">
        <v>25</v>
      </c>
    </row>
    <row r="28" customFormat="false" ht="27.75" hidden="false" customHeight="true" outlineLevel="0" collapsed="false">
      <c r="A28" s="11" t="s">
        <v>26</v>
      </c>
      <c r="B28" s="11" t="s">
        <v>27</v>
      </c>
    </row>
    <row r="29" customFormat="false" ht="27.75" hidden="false" customHeight="true" outlineLevel="0" collapsed="false">
      <c r="A29" s="10" t="s">
        <v>28</v>
      </c>
      <c r="B29" s="10" t="s">
        <v>29</v>
      </c>
    </row>
    <row r="30" customFormat="false" ht="27.75" hidden="false" customHeight="true" outlineLevel="0" collapsed="false">
      <c r="A30" s="11" t="s">
        <v>30</v>
      </c>
      <c r="B30" s="11" t="s">
        <v>31</v>
      </c>
    </row>
    <row r="31" customFormat="false" ht="27.75" hidden="false" customHeight="true" outlineLevel="0" collapsed="false">
      <c r="A31" s="10" t="s">
        <v>32</v>
      </c>
      <c r="B31" s="10" t="s">
        <v>33</v>
      </c>
    </row>
    <row r="32" customFormat="false" ht="27.75" hidden="false" customHeight="true" outlineLevel="0" collapsed="false">
      <c r="A32" s="11" t="s">
        <v>34</v>
      </c>
      <c r="B32" s="11" t="s">
        <v>35</v>
      </c>
    </row>
    <row r="33" customFormat="false" ht="27.75" hidden="false" customHeight="true" outlineLevel="0" collapsed="false">
      <c r="A33" s="10" t="s">
        <v>36</v>
      </c>
      <c r="B33" s="10" t="s">
        <v>37</v>
      </c>
    </row>
    <row r="34" customFormat="false" ht="27.75" hidden="false" customHeight="true" outlineLevel="0" collapsed="false">
      <c r="A34" s="11" t="s">
        <v>38</v>
      </c>
      <c r="B34" s="11" t="s">
        <v>39</v>
      </c>
    </row>
    <row r="35" customFormat="false" ht="27.75" hidden="false" customHeight="true" outlineLevel="0" collapsed="false">
      <c r="A35" s="10" t="s">
        <v>40</v>
      </c>
      <c r="B35" s="10" t="s">
        <v>41</v>
      </c>
    </row>
    <row r="36" customFormat="false" ht="27.75" hidden="false" customHeight="true" outlineLevel="0" collapsed="false">
      <c r="A36" s="11" t="s">
        <v>42</v>
      </c>
      <c r="B36" s="11" t="s">
        <v>43</v>
      </c>
    </row>
    <row r="37" customFormat="false" ht="27.75" hidden="false" customHeight="true" outlineLevel="0" collapsed="false">
      <c r="A37" s="10" t="s">
        <v>44</v>
      </c>
      <c r="B37" s="10" t="s">
        <v>45</v>
      </c>
    </row>
  </sheetData>
  <mergeCells count="3">
    <mergeCell ref="A1:B1"/>
    <mergeCell ref="A2:B2"/>
    <mergeCell ref="A5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46</v>
      </c>
      <c r="B1" s="2"/>
      <c r="C1" s="2"/>
      <c r="D1" s="2"/>
      <c r="E1" s="2"/>
    </row>
    <row r="2" customFormat="false" ht="18" hidden="false" customHeight="true" outlineLevel="0" collapsed="false">
      <c r="A2" s="3" t="s">
        <v>47</v>
      </c>
      <c r="B2" s="3"/>
      <c r="C2" s="3"/>
      <c r="D2" s="3"/>
      <c r="E2" s="3"/>
    </row>
    <row r="4" customFormat="false" ht="33.75" hidden="false" customHeight="true" outlineLevel="0" collapsed="false">
      <c r="A4" s="12" t="s">
        <v>48</v>
      </c>
      <c r="B4" s="13" t="s">
        <v>49</v>
      </c>
      <c r="C4" s="13"/>
      <c r="D4" s="13"/>
      <c r="E4" s="13"/>
    </row>
    <row r="5" customFormat="false" ht="33.75" hidden="false" customHeight="true" outlineLevel="0" collapsed="false">
      <c r="A5" s="12" t="s">
        <v>50</v>
      </c>
      <c r="B5" s="13" t="s">
        <v>51</v>
      </c>
      <c r="C5" s="13"/>
      <c r="D5" s="13"/>
      <c r="E5" s="13"/>
    </row>
    <row r="6" customFormat="false" ht="33.75" hidden="false" customHeight="true" outlineLevel="0" collapsed="false">
      <c r="A6" s="12" t="s">
        <v>52</v>
      </c>
      <c r="B6" s="13" t="s">
        <v>53</v>
      </c>
      <c r="C6" s="13"/>
      <c r="D6" s="13"/>
      <c r="E6" s="13"/>
    </row>
    <row r="7" customFormat="false" ht="33.75" hidden="false" customHeight="true" outlineLevel="0" collapsed="false">
      <c r="A7" s="12" t="s">
        <v>54</v>
      </c>
      <c r="B7" s="13" t="s">
        <v>55</v>
      </c>
      <c r="C7" s="13"/>
      <c r="D7" s="13"/>
      <c r="E7" s="13"/>
    </row>
    <row r="8" customFormat="false" ht="33.75" hidden="false" customHeight="true" outlineLevel="0" collapsed="false">
      <c r="A8" s="12" t="s">
        <v>56</v>
      </c>
      <c r="B8" s="13" t="s">
        <v>57</v>
      </c>
      <c r="C8" s="13"/>
      <c r="D8" s="13"/>
      <c r="E8" s="13"/>
    </row>
    <row r="9" customFormat="false" ht="33.75" hidden="false" customHeight="true" outlineLevel="0" collapsed="false">
      <c r="A9" s="12" t="s">
        <v>58</v>
      </c>
      <c r="B9" s="13" t="s">
        <v>59</v>
      </c>
      <c r="C9" s="13"/>
      <c r="D9" s="13"/>
      <c r="E9" s="13"/>
    </row>
    <row r="10" customFormat="false" ht="33.75" hidden="false" customHeight="true" outlineLevel="0" collapsed="false">
      <c r="A10" s="12" t="s">
        <v>60</v>
      </c>
      <c r="B10" s="13" t="s">
        <v>61</v>
      </c>
      <c r="C10" s="13"/>
      <c r="D10" s="13"/>
      <c r="E10" s="13"/>
    </row>
    <row r="11" customFormat="false" ht="33.75" hidden="false" customHeight="true" outlineLevel="0" collapsed="false">
      <c r="A11" s="12" t="s">
        <v>62</v>
      </c>
      <c r="B11" s="13" t="s">
        <v>63</v>
      </c>
      <c r="C11" s="13"/>
      <c r="D11" s="13"/>
      <c r="E11" s="13"/>
    </row>
    <row r="12" customFormat="false" ht="33.75" hidden="false" customHeight="true" outlineLevel="0" collapsed="false">
      <c r="A12" s="12" t="s">
        <v>64</v>
      </c>
      <c r="B12" s="13" t="s">
        <v>65</v>
      </c>
      <c r="C12" s="13"/>
      <c r="D12" s="13"/>
      <c r="E12" s="13"/>
    </row>
    <row r="13" customFormat="false" ht="33.75" hidden="false" customHeight="true" outlineLevel="0" collapsed="false">
      <c r="A13" s="12" t="s">
        <v>66</v>
      </c>
      <c r="B13" s="13" t="s">
        <v>67</v>
      </c>
      <c r="C13" s="13"/>
      <c r="D13" s="13"/>
      <c r="E13" s="13"/>
    </row>
    <row r="15" customFormat="false" ht="16.15" hidden="false" customHeight="false" outlineLevel="0" collapsed="false">
      <c r="A15" s="6" t="s">
        <v>68</v>
      </c>
    </row>
    <row r="16" customFormat="false" ht="31.5" hidden="false" customHeight="true" outlineLevel="0" collapsed="false">
      <c r="A16" s="9" t="s">
        <v>69</v>
      </c>
      <c r="B16" s="9" t="s">
        <v>70</v>
      </c>
      <c r="C16" s="9" t="s">
        <v>71</v>
      </c>
      <c r="D16" s="9" t="s">
        <v>72</v>
      </c>
      <c r="E16" s="9" t="s">
        <v>73</v>
      </c>
    </row>
    <row r="17" customFormat="false" ht="35.05" hidden="false" customHeight="false" outlineLevel="0" collapsed="false">
      <c r="A17" s="14" t="s">
        <v>74</v>
      </c>
      <c r="B17" s="14" t="s">
        <v>75</v>
      </c>
      <c r="C17" s="14" t="s">
        <v>76</v>
      </c>
      <c r="D17" s="14" t="s">
        <v>77</v>
      </c>
      <c r="E17" s="14" t="s">
        <v>78</v>
      </c>
    </row>
    <row r="18" customFormat="false" ht="19.5" hidden="false" customHeight="true" outlineLevel="0" collapsed="false">
      <c r="A18" s="15"/>
      <c r="B18" s="15"/>
      <c r="C18" s="15"/>
      <c r="D18" s="15"/>
      <c r="E18" s="15"/>
    </row>
    <row r="19" customFormat="false" ht="19.5" hidden="false" customHeight="true" outlineLevel="0" collapsed="false">
      <c r="A19" s="15"/>
      <c r="B19" s="15"/>
      <c r="C19" s="15"/>
      <c r="D19" s="15"/>
      <c r="E19" s="15"/>
    </row>
    <row r="20" customFormat="false" ht="19.5" hidden="false" customHeight="true" outlineLevel="0" collapsed="false">
      <c r="A20" s="15"/>
      <c r="B20" s="15"/>
      <c r="C20" s="15"/>
      <c r="D20" s="15"/>
      <c r="E20" s="15"/>
    </row>
    <row r="21" customFormat="false" ht="19.5" hidden="false" customHeight="true" outlineLevel="0" collapsed="false">
      <c r="A21" s="15"/>
      <c r="B21" s="15"/>
      <c r="C21" s="15"/>
      <c r="D21" s="15"/>
      <c r="E21" s="15"/>
    </row>
    <row r="22" customFormat="false" ht="19.5" hidden="false" customHeight="true" outlineLevel="0" collapsed="false">
      <c r="A22" s="15"/>
      <c r="B22" s="15"/>
      <c r="C22" s="15"/>
      <c r="D22" s="15"/>
      <c r="E22" s="15"/>
    </row>
    <row r="23" customFormat="false" ht="19.5" hidden="false" customHeight="true" outlineLevel="0" collapsed="false">
      <c r="A23" s="15"/>
      <c r="B23" s="15"/>
      <c r="C23" s="15"/>
      <c r="D23" s="15"/>
      <c r="E23" s="15"/>
    </row>
    <row r="24" customFormat="false" ht="19.5" hidden="false" customHeight="true" outlineLevel="0" collapsed="false">
      <c r="A24" s="15"/>
      <c r="B24" s="15"/>
      <c r="C24" s="15"/>
      <c r="D24" s="15"/>
      <c r="E24" s="15"/>
    </row>
    <row r="25" customFormat="false" ht="19.5" hidden="false" customHeight="true" outlineLevel="0" collapsed="false">
      <c r="A25" s="15"/>
      <c r="B25" s="15"/>
      <c r="C25" s="15"/>
      <c r="D25" s="15"/>
      <c r="E25" s="15"/>
    </row>
    <row r="26" customFormat="false" ht="19.5" hidden="false" customHeight="true" outlineLevel="0" collapsed="false">
      <c r="A26" s="15"/>
      <c r="B26" s="15"/>
      <c r="C26" s="15"/>
      <c r="D26" s="15"/>
      <c r="E26" s="15"/>
    </row>
    <row r="27" customFormat="false" ht="19.5" hidden="false" customHeight="true" outlineLevel="0" collapsed="false">
      <c r="A27" s="15"/>
      <c r="B27" s="15"/>
      <c r="C27" s="15"/>
      <c r="D27" s="15"/>
      <c r="E27" s="15"/>
    </row>
    <row r="28" customFormat="false" ht="19.5" hidden="false" customHeight="true" outlineLevel="0" collapsed="false">
      <c r="A28" s="15"/>
      <c r="B28" s="15"/>
      <c r="C28" s="15"/>
      <c r="D28" s="15"/>
      <c r="E28" s="15"/>
    </row>
    <row r="29" customFormat="false" ht="19.5" hidden="false" customHeight="true" outlineLevel="0" collapsed="false">
      <c r="A29" s="15"/>
      <c r="B29" s="15"/>
      <c r="C29" s="15"/>
      <c r="D29" s="15"/>
      <c r="E29" s="15"/>
    </row>
    <row r="30" customFormat="false" ht="19.5" hidden="false" customHeight="true" outlineLevel="0" collapsed="false">
      <c r="A30" s="15"/>
      <c r="B30" s="15"/>
      <c r="C30" s="15"/>
      <c r="D30" s="15"/>
      <c r="E30" s="15"/>
    </row>
    <row r="31" customFormat="false" ht="19.5" hidden="false" customHeight="true" outlineLevel="0" collapsed="false">
      <c r="A31" s="15"/>
      <c r="B31" s="15"/>
      <c r="C31" s="15"/>
      <c r="D31" s="15"/>
      <c r="E31" s="15"/>
    </row>
    <row r="32" customFormat="false" ht="19.5" hidden="false" customHeight="true" outlineLevel="0" collapsed="false">
      <c r="A32" s="15"/>
      <c r="B32" s="15"/>
      <c r="C32" s="15"/>
      <c r="D32" s="15"/>
      <c r="E32" s="15"/>
    </row>
    <row r="33" customFormat="false" ht="19.5" hidden="false" customHeight="true" outlineLevel="0" collapsed="false">
      <c r="A33" s="15"/>
      <c r="B33" s="15"/>
      <c r="C33" s="15"/>
      <c r="D33" s="15"/>
      <c r="E33" s="15"/>
    </row>
  </sheetData>
  <mergeCells count="12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dataValidations count="1">
    <dataValidation allowBlank="true" errorStyle="stop" operator="between" showDropDown="false" showErrorMessage="false" showInputMessage="false" sqref="D17:D33" type="list">
      <formula1>"Interview,Document review,Workshop,Observation / System walkthrough,Sampling"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62"/>
    <col collapsed="false" customWidth="true" hidden="false" outlineLevel="0" max="6" min="6" style="1" width="12"/>
    <col collapsed="false" customWidth="true" hidden="false" outlineLevel="0" max="7" min="7" style="1" width="40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80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  <c r="H4" s="9" t="s">
        <v>88</v>
      </c>
    </row>
    <row r="5" customFormat="false" ht="31.5" hidden="false" customHeight="true" outlineLevel="0" collapsed="false">
      <c r="A5" s="14" t="s">
        <v>89</v>
      </c>
      <c r="B5" s="14" t="s">
        <v>90</v>
      </c>
      <c r="C5" s="14" t="s">
        <v>91</v>
      </c>
      <c r="D5" s="14" t="s">
        <v>92</v>
      </c>
      <c r="E5" s="14" t="s">
        <v>93</v>
      </c>
      <c r="F5" s="14" t="n">
        <v>2</v>
      </c>
      <c r="G5" s="14" t="s">
        <v>94</v>
      </c>
      <c r="H5" s="14" t="s">
        <v>95</v>
      </c>
    </row>
    <row r="6" customFormat="false" ht="31.5" hidden="false" customHeight="true" outlineLevel="0" collapsed="false">
      <c r="A6" s="16" t="s">
        <v>89</v>
      </c>
      <c r="B6" s="16" t="s">
        <v>90</v>
      </c>
      <c r="C6" s="16" t="s">
        <v>91</v>
      </c>
      <c r="D6" s="16" t="s">
        <v>96</v>
      </c>
      <c r="E6" s="16" t="s">
        <v>97</v>
      </c>
      <c r="F6" s="16"/>
      <c r="G6" s="16"/>
      <c r="H6" s="16"/>
    </row>
    <row r="7" customFormat="false" ht="31.5" hidden="false" customHeight="true" outlineLevel="0" collapsed="false">
      <c r="A7" s="16" t="s">
        <v>89</v>
      </c>
      <c r="B7" s="16" t="s">
        <v>90</v>
      </c>
      <c r="C7" s="16" t="s">
        <v>91</v>
      </c>
      <c r="D7" s="16" t="s">
        <v>98</v>
      </c>
      <c r="E7" s="16" t="s">
        <v>99</v>
      </c>
      <c r="F7" s="16"/>
      <c r="G7" s="16"/>
      <c r="H7" s="16"/>
    </row>
    <row r="8" customFormat="false" ht="31.5" hidden="false" customHeight="true" outlineLevel="0" collapsed="false">
      <c r="A8" s="16" t="s">
        <v>89</v>
      </c>
      <c r="B8" s="16" t="s">
        <v>90</v>
      </c>
      <c r="C8" s="16" t="s">
        <v>91</v>
      </c>
      <c r="D8" s="16" t="s">
        <v>100</v>
      </c>
      <c r="E8" s="16" t="s">
        <v>101</v>
      </c>
      <c r="F8" s="16"/>
      <c r="G8" s="16"/>
      <c r="H8" s="16"/>
    </row>
    <row r="9" customFormat="false" ht="31.5" hidden="false" customHeight="true" outlineLevel="0" collapsed="false">
      <c r="A9" s="16" t="s">
        <v>89</v>
      </c>
      <c r="B9" s="16" t="s">
        <v>90</v>
      </c>
      <c r="C9" s="16" t="s">
        <v>91</v>
      </c>
      <c r="D9" s="16" t="s">
        <v>102</v>
      </c>
      <c r="E9" s="16" t="s">
        <v>103</v>
      </c>
      <c r="F9" s="16"/>
      <c r="G9" s="16"/>
      <c r="H9" s="16"/>
    </row>
    <row r="10" customFormat="false" ht="31.5" hidden="false" customHeight="true" outlineLevel="0" collapsed="false">
      <c r="A10" s="16" t="s">
        <v>89</v>
      </c>
      <c r="B10" s="16" t="s">
        <v>104</v>
      </c>
      <c r="C10" s="16" t="s">
        <v>105</v>
      </c>
      <c r="D10" s="16" t="s">
        <v>106</v>
      </c>
      <c r="E10" s="16" t="s">
        <v>107</v>
      </c>
      <c r="F10" s="16"/>
      <c r="G10" s="16"/>
      <c r="H10" s="16"/>
    </row>
    <row r="11" customFormat="false" ht="31.5" hidden="false" customHeight="true" outlineLevel="0" collapsed="false">
      <c r="A11" s="16" t="s">
        <v>89</v>
      </c>
      <c r="B11" s="16" t="s">
        <v>104</v>
      </c>
      <c r="C11" s="16" t="s">
        <v>105</v>
      </c>
      <c r="D11" s="16" t="s">
        <v>108</v>
      </c>
      <c r="E11" s="16" t="s">
        <v>109</v>
      </c>
      <c r="F11" s="16"/>
      <c r="G11" s="16"/>
      <c r="H11" s="16"/>
    </row>
    <row r="12" customFormat="false" ht="31.5" hidden="false" customHeight="true" outlineLevel="0" collapsed="false">
      <c r="A12" s="16" t="s">
        <v>89</v>
      </c>
      <c r="B12" s="16" t="s">
        <v>104</v>
      </c>
      <c r="C12" s="16" t="s">
        <v>105</v>
      </c>
      <c r="D12" s="16" t="s">
        <v>110</v>
      </c>
      <c r="E12" s="16" t="s">
        <v>111</v>
      </c>
      <c r="F12" s="16"/>
      <c r="G12" s="16"/>
      <c r="H12" s="16"/>
    </row>
    <row r="13" customFormat="false" ht="31.5" hidden="false" customHeight="true" outlineLevel="0" collapsed="false">
      <c r="A13" s="16" t="s">
        <v>89</v>
      </c>
      <c r="B13" s="16" t="s">
        <v>104</v>
      </c>
      <c r="C13" s="16" t="s">
        <v>105</v>
      </c>
      <c r="D13" s="16" t="s">
        <v>112</v>
      </c>
      <c r="E13" s="16" t="s">
        <v>113</v>
      </c>
      <c r="F13" s="16"/>
      <c r="G13" s="16"/>
      <c r="H13" s="16"/>
    </row>
    <row r="14" customFormat="false" ht="31.5" hidden="false" customHeight="true" outlineLevel="0" collapsed="false">
      <c r="A14" s="16" t="s">
        <v>89</v>
      </c>
      <c r="B14" s="16" t="s">
        <v>104</v>
      </c>
      <c r="C14" s="16" t="s">
        <v>105</v>
      </c>
      <c r="D14" s="16" t="s">
        <v>114</v>
      </c>
      <c r="E14" s="16" t="s">
        <v>115</v>
      </c>
      <c r="F14" s="16"/>
      <c r="G14" s="16"/>
      <c r="H14" s="16"/>
    </row>
    <row r="15" customFormat="false" ht="31.5" hidden="false" customHeight="true" outlineLevel="0" collapsed="false">
      <c r="A15" s="16" t="s">
        <v>89</v>
      </c>
      <c r="B15" s="16" t="s">
        <v>104</v>
      </c>
      <c r="C15" s="16" t="s">
        <v>105</v>
      </c>
      <c r="D15" s="16" t="s">
        <v>116</v>
      </c>
      <c r="E15" s="16" t="s">
        <v>117</v>
      </c>
      <c r="F15" s="16"/>
      <c r="G15" s="16"/>
      <c r="H15" s="16"/>
    </row>
    <row r="16" customFormat="false" ht="31.5" hidden="false" customHeight="true" outlineLevel="0" collapsed="false">
      <c r="A16" s="16" t="s">
        <v>89</v>
      </c>
      <c r="B16" s="16" t="s">
        <v>104</v>
      </c>
      <c r="C16" s="16" t="s">
        <v>105</v>
      </c>
      <c r="D16" s="16" t="s">
        <v>118</v>
      </c>
      <c r="E16" s="16" t="s">
        <v>119</v>
      </c>
      <c r="F16" s="16"/>
      <c r="G16" s="16"/>
      <c r="H16" s="16"/>
    </row>
    <row r="17" customFormat="false" ht="31.5" hidden="false" customHeight="true" outlineLevel="0" collapsed="false">
      <c r="A17" s="16" t="s">
        <v>89</v>
      </c>
      <c r="B17" s="16" t="s">
        <v>120</v>
      </c>
      <c r="C17" s="16" t="s">
        <v>121</v>
      </c>
      <c r="D17" s="16" t="s">
        <v>122</v>
      </c>
      <c r="E17" s="16" t="s">
        <v>123</v>
      </c>
      <c r="F17" s="16"/>
      <c r="G17" s="16"/>
      <c r="H17" s="16"/>
    </row>
    <row r="18" customFormat="false" ht="31.5" hidden="false" customHeight="true" outlineLevel="0" collapsed="false">
      <c r="A18" s="16" t="s">
        <v>89</v>
      </c>
      <c r="B18" s="16" t="s">
        <v>120</v>
      </c>
      <c r="C18" s="16" t="s">
        <v>121</v>
      </c>
      <c r="D18" s="16" t="s">
        <v>124</v>
      </c>
      <c r="E18" s="16" t="s">
        <v>125</v>
      </c>
      <c r="F18" s="16"/>
      <c r="G18" s="16"/>
      <c r="H18" s="16"/>
    </row>
    <row r="19" customFormat="false" ht="31.5" hidden="false" customHeight="true" outlineLevel="0" collapsed="false">
      <c r="A19" s="16" t="s">
        <v>89</v>
      </c>
      <c r="B19" s="16" t="s">
        <v>120</v>
      </c>
      <c r="C19" s="16" t="s">
        <v>121</v>
      </c>
      <c r="D19" s="16" t="s">
        <v>126</v>
      </c>
      <c r="E19" s="16" t="s">
        <v>127</v>
      </c>
      <c r="F19" s="16"/>
      <c r="G19" s="16"/>
      <c r="H19" s="16"/>
    </row>
    <row r="20" customFormat="false" ht="31.5" hidden="false" customHeight="true" outlineLevel="0" collapsed="false">
      <c r="A20" s="16" t="s">
        <v>89</v>
      </c>
      <c r="B20" s="16" t="s">
        <v>120</v>
      </c>
      <c r="C20" s="16" t="s">
        <v>121</v>
      </c>
      <c r="D20" s="16" t="s">
        <v>128</v>
      </c>
      <c r="E20" s="16" t="s">
        <v>129</v>
      </c>
      <c r="F20" s="16"/>
      <c r="G20" s="16"/>
      <c r="H20" s="16"/>
    </row>
    <row r="21" customFormat="false" ht="31.5" hidden="false" customHeight="true" outlineLevel="0" collapsed="false">
      <c r="A21" s="16" t="s">
        <v>89</v>
      </c>
      <c r="B21" s="16" t="s">
        <v>130</v>
      </c>
      <c r="C21" s="16" t="s">
        <v>131</v>
      </c>
      <c r="D21" s="16" t="s">
        <v>132</v>
      </c>
      <c r="E21" s="16" t="s">
        <v>133</v>
      </c>
      <c r="F21" s="16"/>
      <c r="G21" s="16"/>
      <c r="H21" s="16"/>
    </row>
    <row r="22" customFormat="false" ht="31.5" hidden="false" customHeight="true" outlineLevel="0" collapsed="false">
      <c r="A22" s="16" t="s">
        <v>89</v>
      </c>
      <c r="B22" s="16" t="s">
        <v>130</v>
      </c>
      <c r="C22" s="16" t="s">
        <v>131</v>
      </c>
      <c r="D22" s="16" t="s">
        <v>134</v>
      </c>
      <c r="E22" s="16" t="s">
        <v>135</v>
      </c>
      <c r="F22" s="16"/>
      <c r="G22" s="16"/>
      <c r="H22" s="16"/>
    </row>
    <row r="23" customFormat="false" ht="31.5" hidden="false" customHeight="true" outlineLevel="0" collapsed="false">
      <c r="A23" s="16" t="s">
        <v>89</v>
      </c>
      <c r="B23" s="16" t="s">
        <v>136</v>
      </c>
      <c r="C23" s="16" t="s">
        <v>137</v>
      </c>
      <c r="D23" s="16" t="s">
        <v>138</v>
      </c>
      <c r="E23" s="16" t="s">
        <v>139</v>
      </c>
      <c r="F23" s="16"/>
      <c r="G23" s="16"/>
      <c r="H23" s="16"/>
    </row>
    <row r="24" customFormat="false" ht="31.5" hidden="false" customHeight="true" outlineLevel="0" collapsed="false">
      <c r="A24" s="16" t="s">
        <v>89</v>
      </c>
      <c r="B24" s="16" t="s">
        <v>136</v>
      </c>
      <c r="C24" s="16" t="s">
        <v>137</v>
      </c>
      <c r="D24" s="16" t="s">
        <v>140</v>
      </c>
      <c r="E24" s="16" t="s">
        <v>141</v>
      </c>
      <c r="F24" s="16"/>
      <c r="G24" s="16"/>
      <c r="H24" s="16"/>
    </row>
    <row r="25" customFormat="false" ht="31.5" hidden="false" customHeight="true" outlineLevel="0" collapsed="false">
      <c r="A25" s="16" t="s">
        <v>89</v>
      </c>
      <c r="B25" s="16" t="s">
        <v>136</v>
      </c>
      <c r="C25" s="16" t="s">
        <v>137</v>
      </c>
      <c r="D25" s="16" t="s">
        <v>142</v>
      </c>
      <c r="E25" s="16" t="s">
        <v>143</v>
      </c>
      <c r="F25" s="16"/>
      <c r="G25" s="16"/>
      <c r="H25" s="16"/>
    </row>
    <row r="26" customFormat="false" ht="31.5" hidden="false" customHeight="true" outlineLevel="0" collapsed="false">
      <c r="A26" s="16" t="s">
        <v>89</v>
      </c>
      <c r="B26" s="16" t="s">
        <v>144</v>
      </c>
      <c r="C26" s="16" t="s">
        <v>145</v>
      </c>
      <c r="D26" s="16" t="s">
        <v>146</v>
      </c>
      <c r="E26" s="16" t="s">
        <v>147</v>
      </c>
      <c r="F26" s="16"/>
      <c r="G26" s="16"/>
      <c r="H26" s="16"/>
    </row>
    <row r="27" customFormat="false" ht="31.5" hidden="false" customHeight="true" outlineLevel="0" collapsed="false">
      <c r="A27" s="16" t="s">
        <v>89</v>
      </c>
      <c r="B27" s="16" t="s">
        <v>144</v>
      </c>
      <c r="C27" s="16" t="s">
        <v>145</v>
      </c>
      <c r="D27" s="16" t="s">
        <v>148</v>
      </c>
      <c r="E27" s="16" t="s">
        <v>149</v>
      </c>
      <c r="F27" s="16"/>
      <c r="G27" s="16"/>
      <c r="H27" s="16"/>
    </row>
    <row r="28" customFormat="false" ht="31.5" hidden="false" customHeight="true" outlineLevel="0" collapsed="false">
      <c r="A28" s="16" t="s">
        <v>89</v>
      </c>
      <c r="B28" s="16" t="s">
        <v>144</v>
      </c>
      <c r="C28" s="16" t="s">
        <v>145</v>
      </c>
      <c r="D28" s="16" t="s">
        <v>150</v>
      </c>
      <c r="E28" s="16" t="s">
        <v>151</v>
      </c>
      <c r="F28" s="16"/>
      <c r="G28" s="16"/>
      <c r="H28" s="16"/>
    </row>
    <row r="29" customFormat="false" ht="31.5" hidden="false" customHeight="true" outlineLevel="0" collapsed="false">
      <c r="A29" s="16" t="s">
        <v>89</v>
      </c>
      <c r="B29" s="16" t="s">
        <v>144</v>
      </c>
      <c r="C29" s="16" t="s">
        <v>145</v>
      </c>
      <c r="D29" s="16" t="s">
        <v>152</v>
      </c>
      <c r="E29" s="16" t="s">
        <v>153</v>
      </c>
      <c r="F29" s="16"/>
      <c r="G29" s="16"/>
      <c r="H29" s="16"/>
    </row>
    <row r="30" customFormat="false" ht="31.5" hidden="false" customHeight="true" outlineLevel="0" collapsed="false">
      <c r="A30" s="16" t="s">
        <v>89</v>
      </c>
      <c r="B30" s="16" t="s">
        <v>144</v>
      </c>
      <c r="C30" s="16" t="s">
        <v>145</v>
      </c>
      <c r="D30" s="16" t="s">
        <v>154</v>
      </c>
      <c r="E30" s="16" t="s">
        <v>155</v>
      </c>
      <c r="F30" s="16"/>
      <c r="G30" s="16"/>
      <c r="H30" s="16"/>
    </row>
    <row r="31" customFormat="false" ht="31.5" hidden="false" customHeight="true" outlineLevel="0" collapsed="false">
      <c r="A31" s="16" t="s">
        <v>89</v>
      </c>
      <c r="B31" s="16" t="s">
        <v>144</v>
      </c>
      <c r="C31" s="16" t="s">
        <v>145</v>
      </c>
      <c r="D31" s="16" t="s">
        <v>156</v>
      </c>
      <c r="E31" s="16" t="s">
        <v>157</v>
      </c>
      <c r="F31" s="16"/>
      <c r="G31" s="16"/>
      <c r="H31" s="16"/>
    </row>
    <row r="32" customFormat="false" ht="31.5" hidden="false" customHeight="true" outlineLevel="0" collapsed="false">
      <c r="A32" s="16" t="s">
        <v>89</v>
      </c>
      <c r="B32" s="16" t="s">
        <v>144</v>
      </c>
      <c r="C32" s="16" t="s">
        <v>145</v>
      </c>
      <c r="D32" s="16" t="s">
        <v>158</v>
      </c>
      <c r="E32" s="16" t="s">
        <v>159</v>
      </c>
      <c r="F32" s="16"/>
      <c r="G32" s="16"/>
      <c r="H32" s="16"/>
    </row>
    <row r="33" customFormat="false" ht="31.5" hidden="false" customHeight="true" outlineLevel="0" collapsed="false">
      <c r="A33" s="16" t="s">
        <v>89</v>
      </c>
      <c r="B33" s="16" t="s">
        <v>144</v>
      </c>
      <c r="C33" s="16" t="s">
        <v>145</v>
      </c>
      <c r="D33" s="16" t="s">
        <v>160</v>
      </c>
      <c r="E33" s="16" t="s">
        <v>161</v>
      </c>
      <c r="F33" s="16"/>
      <c r="G33" s="16"/>
      <c r="H33" s="16"/>
    </row>
    <row r="34" customFormat="false" ht="31.5" hidden="false" customHeight="true" outlineLevel="0" collapsed="false">
      <c r="A34" s="16" t="s">
        <v>89</v>
      </c>
      <c r="B34" s="16" t="s">
        <v>144</v>
      </c>
      <c r="C34" s="16" t="s">
        <v>145</v>
      </c>
      <c r="D34" s="16" t="s">
        <v>162</v>
      </c>
      <c r="E34" s="16" t="s">
        <v>163</v>
      </c>
      <c r="F34" s="16"/>
      <c r="G34" s="16"/>
      <c r="H34" s="16"/>
    </row>
    <row r="35" customFormat="false" ht="31.5" hidden="false" customHeight="true" outlineLevel="0" collapsed="false">
      <c r="A35" s="16" t="s">
        <v>89</v>
      </c>
      <c r="B35" s="16" t="s">
        <v>144</v>
      </c>
      <c r="C35" s="16" t="s">
        <v>145</v>
      </c>
      <c r="D35" s="16" t="s">
        <v>164</v>
      </c>
      <c r="E35" s="16" t="s">
        <v>165</v>
      </c>
      <c r="F35" s="16"/>
      <c r="G35" s="16"/>
      <c r="H35" s="16"/>
    </row>
    <row r="36" customFormat="false" ht="31.5" hidden="false" customHeight="true" outlineLevel="0" collapsed="false">
      <c r="A36" s="16" t="s">
        <v>166</v>
      </c>
      <c r="B36" s="16" t="s">
        <v>167</v>
      </c>
      <c r="C36" s="16" t="s">
        <v>168</v>
      </c>
      <c r="D36" s="16" t="s">
        <v>169</v>
      </c>
      <c r="E36" s="16" t="s">
        <v>170</v>
      </c>
      <c r="F36" s="16"/>
      <c r="G36" s="16"/>
      <c r="H36" s="16"/>
    </row>
    <row r="37" customFormat="false" ht="31.5" hidden="false" customHeight="true" outlineLevel="0" collapsed="false">
      <c r="A37" s="16" t="s">
        <v>166</v>
      </c>
      <c r="B37" s="16" t="s">
        <v>167</v>
      </c>
      <c r="C37" s="16" t="s">
        <v>168</v>
      </c>
      <c r="D37" s="16" t="s">
        <v>171</v>
      </c>
      <c r="E37" s="16" t="s">
        <v>172</v>
      </c>
      <c r="F37" s="16"/>
      <c r="G37" s="16"/>
      <c r="H37" s="16"/>
    </row>
    <row r="38" customFormat="false" ht="31.5" hidden="false" customHeight="true" outlineLevel="0" collapsed="false">
      <c r="A38" s="16" t="s">
        <v>166</v>
      </c>
      <c r="B38" s="16" t="s">
        <v>167</v>
      </c>
      <c r="C38" s="16" t="s">
        <v>168</v>
      </c>
      <c r="D38" s="16" t="s">
        <v>173</v>
      </c>
      <c r="E38" s="16" t="s">
        <v>174</v>
      </c>
      <c r="F38" s="16"/>
      <c r="G38" s="16"/>
      <c r="H38" s="16"/>
    </row>
    <row r="39" customFormat="false" ht="31.5" hidden="false" customHeight="true" outlineLevel="0" collapsed="false">
      <c r="A39" s="16" t="s">
        <v>166</v>
      </c>
      <c r="B39" s="16" t="s">
        <v>167</v>
      </c>
      <c r="C39" s="16" t="s">
        <v>168</v>
      </c>
      <c r="D39" s="16" t="s">
        <v>175</v>
      </c>
      <c r="E39" s="16" t="s">
        <v>176</v>
      </c>
      <c r="F39" s="16"/>
      <c r="G39" s="16"/>
      <c r="H39" s="16"/>
    </row>
    <row r="40" customFormat="false" ht="31.5" hidden="false" customHeight="true" outlineLevel="0" collapsed="false">
      <c r="A40" s="16" t="s">
        <v>166</v>
      </c>
      <c r="B40" s="16" t="s">
        <v>167</v>
      </c>
      <c r="C40" s="16" t="s">
        <v>168</v>
      </c>
      <c r="D40" s="16" t="s">
        <v>177</v>
      </c>
      <c r="E40" s="16" t="s">
        <v>178</v>
      </c>
      <c r="F40" s="16"/>
      <c r="G40" s="16"/>
      <c r="H40" s="16"/>
    </row>
    <row r="41" customFormat="false" ht="31.5" hidden="false" customHeight="true" outlineLevel="0" collapsed="false">
      <c r="A41" s="16" t="s">
        <v>166</v>
      </c>
      <c r="B41" s="16" t="s">
        <v>167</v>
      </c>
      <c r="C41" s="16" t="s">
        <v>168</v>
      </c>
      <c r="D41" s="16" t="s">
        <v>179</v>
      </c>
      <c r="E41" s="16" t="s">
        <v>180</v>
      </c>
      <c r="F41" s="16"/>
      <c r="G41" s="16"/>
      <c r="H41" s="16"/>
    </row>
    <row r="42" customFormat="false" ht="31.5" hidden="false" customHeight="true" outlineLevel="0" collapsed="false">
      <c r="A42" s="16" t="s">
        <v>166</v>
      </c>
      <c r="B42" s="16" t="s">
        <v>167</v>
      </c>
      <c r="C42" s="16" t="s">
        <v>168</v>
      </c>
      <c r="D42" s="16" t="s">
        <v>181</v>
      </c>
      <c r="E42" s="16" t="s">
        <v>182</v>
      </c>
      <c r="F42" s="16"/>
      <c r="G42" s="16"/>
      <c r="H42" s="16"/>
    </row>
    <row r="43" customFormat="false" ht="31.5" hidden="false" customHeight="true" outlineLevel="0" collapsed="false">
      <c r="A43" s="16" t="s">
        <v>166</v>
      </c>
      <c r="B43" s="16" t="s">
        <v>183</v>
      </c>
      <c r="C43" s="16" t="s">
        <v>184</v>
      </c>
      <c r="D43" s="16" t="s">
        <v>185</v>
      </c>
      <c r="E43" s="16" t="s">
        <v>186</v>
      </c>
      <c r="F43" s="16"/>
      <c r="G43" s="16"/>
      <c r="H43" s="16"/>
    </row>
    <row r="44" customFormat="false" ht="31.5" hidden="false" customHeight="true" outlineLevel="0" collapsed="false">
      <c r="A44" s="16" t="s">
        <v>166</v>
      </c>
      <c r="B44" s="16" t="s">
        <v>183</v>
      </c>
      <c r="C44" s="16" t="s">
        <v>184</v>
      </c>
      <c r="D44" s="16" t="s">
        <v>187</v>
      </c>
      <c r="E44" s="16" t="s">
        <v>188</v>
      </c>
      <c r="F44" s="16"/>
      <c r="G44" s="16"/>
      <c r="H44" s="16"/>
    </row>
    <row r="45" customFormat="false" ht="31.5" hidden="false" customHeight="true" outlineLevel="0" collapsed="false">
      <c r="A45" s="16" t="s">
        <v>166</v>
      </c>
      <c r="B45" s="16" t="s">
        <v>183</v>
      </c>
      <c r="C45" s="16" t="s">
        <v>184</v>
      </c>
      <c r="D45" s="16" t="s">
        <v>189</v>
      </c>
      <c r="E45" s="16" t="s">
        <v>190</v>
      </c>
      <c r="F45" s="16"/>
      <c r="G45" s="16"/>
      <c r="H45" s="16"/>
    </row>
    <row r="46" customFormat="false" ht="31.5" hidden="false" customHeight="true" outlineLevel="0" collapsed="false">
      <c r="A46" s="16" t="s">
        <v>166</v>
      </c>
      <c r="B46" s="16" t="s">
        <v>183</v>
      </c>
      <c r="C46" s="16" t="s">
        <v>184</v>
      </c>
      <c r="D46" s="16" t="s">
        <v>191</v>
      </c>
      <c r="E46" s="16" t="s">
        <v>192</v>
      </c>
      <c r="F46" s="16"/>
      <c r="G46" s="16"/>
      <c r="H46" s="16"/>
    </row>
    <row r="47" customFormat="false" ht="31.5" hidden="false" customHeight="true" outlineLevel="0" collapsed="false">
      <c r="A47" s="16" t="s">
        <v>166</v>
      </c>
      <c r="B47" s="16" t="s">
        <v>183</v>
      </c>
      <c r="C47" s="16" t="s">
        <v>184</v>
      </c>
      <c r="D47" s="16" t="s">
        <v>193</v>
      </c>
      <c r="E47" s="16" t="s">
        <v>194</v>
      </c>
      <c r="F47" s="16"/>
      <c r="G47" s="16"/>
      <c r="H47" s="16"/>
    </row>
    <row r="48" customFormat="false" ht="31.5" hidden="false" customHeight="true" outlineLevel="0" collapsed="false">
      <c r="A48" s="16" t="s">
        <v>166</v>
      </c>
      <c r="B48" s="16" t="s">
        <v>183</v>
      </c>
      <c r="C48" s="16" t="s">
        <v>184</v>
      </c>
      <c r="D48" s="16" t="s">
        <v>195</v>
      </c>
      <c r="E48" s="16" t="s">
        <v>196</v>
      </c>
      <c r="F48" s="16"/>
      <c r="G48" s="16"/>
      <c r="H48" s="16"/>
    </row>
    <row r="49" customFormat="false" ht="31.5" hidden="false" customHeight="true" outlineLevel="0" collapsed="false">
      <c r="A49" s="16" t="s">
        <v>166</v>
      </c>
      <c r="B49" s="16" t="s">
        <v>183</v>
      </c>
      <c r="C49" s="16" t="s">
        <v>184</v>
      </c>
      <c r="D49" s="16" t="s">
        <v>197</v>
      </c>
      <c r="E49" s="16" t="s">
        <v>198</v>
      </c>
      <c r="F49" s="16"/>
      <c r="G49" s="16"/>
      <c r="H49" s="16"/>
    </row>
    <row r="50" customFormat="false" ht="31.5" hidden="false" customHeight="true" outlineLevel="0" collapsed="false">
      <c r="A50" s="16" t="s">
        <v>166</v>
      </c>
      <c r="B50" s="16" t="s">
        <v>183</v>
      </c>
      <c r="C50" s="16" t="s">
        <v>184</v>
      </c>
      <c r="D50" s="16" t="s">
        <v>199</v>
      </c>
      <c r="E50" s="16" t="s">
        <v>200</v>
      </c>
      <c r="F50" s="16"/>
      <c r="G50" s="16"/>
      <c r="H50" s="16"/>
    </row>
    <row r="51" customFormat="false" ht="31.5" hidden="false" customHeight="true" outlineLevel="0" collapsed="false">
      <c r="A51" s="16" t="s">
        <v>166</v>
      </c>
      <c r="B51" s="16" t="s">
        <v>183</v>
      </c>
      <c r="C51" s="16" t="s">
        <v>184</v>
      </c>
      <c r="D51" s="16" t="s">
        <v>201</v>
      </c>
      <c r="E51" s="16" t="s">
        <v>202</v>
      </c>
      <c r="F51" s="16"/>
      <c r="G51" s="16"/>
      <c r="H51" s="16"/>
    </row>
    <row r="52" customFormat="false" ht="31.5" hidden="false" customHeight="true" outlineLevel="0" collapsed="false">
      <c r="A52" s="16" t="s">
        <v>166</v>
      </c>
      <c r="B52" s="16" t="s">
        <v>183</v>
      </c>
      <c r="C52" s="16" t="s">
        <v>184</v>
      </c>
      <c r="D52" s="16" t="s">
        <v>203</v>
      </c>
      <c r="E52" s="16" t="s">
        <v>204</v>
      </c>
      <c r="F52" s="16"/>
      <c r="G52" s="16"/>
      <c r="H52" s="16"/>
    </row>
    <row r="53" customFormat="false" ht="31.5" hidden="false" customHeight="true" outlineLevel="0" collapsed="false">
      <c r="A53" s="16" t="s">
        <v>166</v>
      </c>
      <c r="B53" s="16" t="s">
        <v>205</v>
      </c>
      <c r="C53" s="16" t="s">
        <v>206</v>
      </c>
      <c r="D53" s="16" t="s">
        <v>207</v>
      </c>
      <c r="E53" s="16" t="s">
        <v>208</v>
      </c>
      <c r="F53" s="16"/>
      <c r="G53" s="16"/>
      <c r="H53" s="16"/>
    </row>
    <row r="54" customFormat="false" ht="31.5" hidden="false" customHeight="true" outlineLevel="0" collapsed="false">
      <c r="A54" s="16" t="s">
        <v>166</v>
      </c>
      <c r="B54" s="16" t="s">
        <v>205</v>
      </c>
      <c r="C54" s="16" t="s">
        <v>206</v>
      </c>
      <c r="D54" s="16" t="s">
        <v>209</v>
      </c>
      <c r="E54" s="16" t="s">
        <v>210</v>
      </c>
      <c r="F54" s="16"/>
      <c r="G54" s="16"/>
      <c r="H54" s="16"/>
    </row>
    <row r="55" customFormat="false" ht="31.5" hidden="false" customHeight="true" outlineLevel="0" collapsed="false">
      <c r="A55" s="16" t="s">
        <v>166</v>
      </c>
      <c r="B55" s="16" t="s">
        <v>205</v>
      </c>
      <c r="C55" s="16" t="s">
        <v>206</v>
      </c>
      <c r="D55" s="16" t="s">
        <v>211</v>
      </c>
      <c r="E55" s="16" t="s">
        <v>212</v>
      </c>
      <c r="F55" s="16"/>
      <c r="G55" s="16"/>
      <c r="H55" s="16"/>
    </row>
    <row r="56" customFormat="false" ht="31.5" hidden="false" customHeight="true" outlineLevel="0" collapsed="false">
      <c r="A56" s="16" t="s">
        <v>166</v>
      </c>
      <c r="B56" s="16" t="s">
        <v>205</v>
      </c>
      <c r="C56" s="16" t="s">
        <v>206</v>
      </c>
      <c r="D56" s="16" t="s">
        <v>213</v>
      </c>
      <c r="E56" s="16" t="s">
        <v>214</v>
      </c>
      <c r="F56" s="16"/>
      <c r="G56" s="16"/>
      <c r="H56" s="16"/>
    </row>
    <row r="57" customFormat="false" ht="31.5" hidden="false" customHeight="true" outlineLevel="0" collapsed="false">
      <c r="A57" s="16" t="s">
        <v>215</v>
      </c>
      <c r="B57" s="16" t="s">
        <v>216</v>
      </c>
      <c r="C57" s="16" t="s">
        <v>217</v>
      </c>
      <c r="D57" s="16" t="s">
        <v>218</v>
      </c>
      <c r="E57" s="16" t="s">
        <v>219</v>
      </c>
      <c r="F57" s="16"/>
      <c r="G57" s="16"/>
      <c r="H57" s="16"/>
    </row>
    <row r="58" customFormat="false" ht="31.5" hidden="false" customHeight="true" outlineLevel="0" collapsed="false">
      <c r="A58" s="16" t="s">
        <v>215</v>
      </c>
      <c r="B58" s="16" t="s">
        <v>216</v>
      </c>
      <c r="C58" s="16" t="s">
        <v>217</v>
      </c>
      <c r="D58" s="16" t="s">
        <v>220</v>
      </c>
      <c r="E58" s="16" t="s">
        <v>221</v>
      </c>
      <c r="F58" s="16"/>
      <c r="G58" s="16"/>
      <c r="H58" s="16"/>
    </row>
    <row r="59" customFormat="false" ht="31.5" hidden="false" customHeight="true" outlineLevel="0" collapsed="false">
      <c r="A59" s="16" t="s">
        <v>215</v>
      </c>
      <c r="B59" s="16" t="s">
        <v>216</v>
      </c>
      <c r="C59" s="16" t="s">
        <v>217</v>
      </c>
      <c r="D59" s="16" t="s">
        <v>222</v>
      </c>
      <c r="E59" s="16" t="s">
        <v>223</v>
      </c>
      <c r="F59" s="16"/>
      <c r="G59" s="16"/>
      <c r="H59" s="16"/>
    </row>
    <row r="60" customFormat="false" ht="31.5" hidden="false" customHeight="true" outlineLevel="0" collapsed="false">
      <c r="A60" s="16" t="s">
        <v>215</v>
      </c>
      <c r="B60" s="16" t="s">
        <v>216</v>
      </c>
      <c r="C60" s="16" t="s">
        <v>217</v>
      </c>
      <c r="D60" s="16" t="s">
        <v>224</v>
      </c>
      <c r="E60" s="16" t="s">
        <v>225</v>
      </c>
      <c r="F60" s="16"/>
      <c r="G60" s="16"/>
      <c r="H60" s="16"/>
    </row>
    <row r="61" customFormat="false" ht="31.5" hidden="false" customHeight="true" outlineLevel="0" collapsed="false">
      <c r="A61" s="16" t="s">
        <v>215</v>
      </c>
      <c r="B61" s="16" t="s">
        <v>216</v>
      </c>
      <c r="C61" s="16" t="s">
        <v>217</v>
      </c>
      <c r="D61" s="16" t="s">
        <v>226</v>
      </c>
      <c r="E61" s="16" t="s">
        <v>227</v>
      </c>
      <c r="F61" s="16"/>
      <c r="G61" s="16"/>
      <c r="H61" s="16"/>
    </row>
    <row r="62" customFormat="false" ht="31.5" hidden="false" customHeight="true" outlineLevel="0" collapsed="false">
      <c r="A62" s="16" t="s">
        <v>215</v>
      </c>
      <c r="B62" s="16" t="s">
        <v>216</v>
      </c>
      <c r="C62" s="16" t="s">
        <v>217</v>
      </c>
      <c r="D62" s="16" t="s">
        <v>228</v>
      </c>
      <c r="E62" s="16" t="s">
        <v>229</v>
      </c>
      <c r="F62" s="16"/>
      <c r="G62" s="16"/>
      <c r="H62" s="16"/>
    </row>
    <row r="63" customFormat="false" ht="31.5" hidden="false" customHeight="true" outlineLevel="0" collapsed="false">
      <c r="A63" s="16" t="s">
        <v>215</v>
      </c>
      <c r="B63" s="16" t="s">
        <v>230</v>
      </c>
      <c r="C63" s="16" t="s">
        <v>231</v>
      </c>
      <c r="D63" s="16" t="s">
        <v>232</v>
      </c>
      <c r="E63" s="16" t="s">
        <v>233</v>
      </c>
      <c r="F63" s="16"/>
      <c r="G63" s="16"/>
      <c r="H63" s="16"/>
    </row>
    <row r="64" customFormat="false" ht="31.5" hidden="false" customHeight="true" outlineLevel="0" collapsed="false">
      <c r="A64" s="16" t="s">
        <v>215</v>
      </c>
      <c r="B64" s="16" t="s">
        <v>230</v>
      </c>
      <c r="C64" s="16" t="s">
        <v>231</v>
      </c>
      <c r="D64" s="16" t="s">
        <v>234</v>
      </c>
      <c r="E64" s="16" t="s">
        <v>235</v>
      </c>
      <c r="F64" s="16"/>
      <c r="G64" s="16"/>
      <c r="H64" s="16"/>
    </row>
    <row r="65" customFormat="false" ht="31.5" hidden="false" customHeight="true" outlineLevel="0" collapsed="false">
      <c r="A65" s="16" t="s">
        <v>215</v>
      </c>
      <c r="B65" s="16" t="s">
        <v>236</v>
      </c>
      <c r="C65" s="16" t="s">
        <v>237</v>
      </c>
      <c r="D65" s="16" t="s">
        <v>238</v>
      </c>
      <c r="E65" s="16" t="s">
        <v>239</v>
      </c>
      <c r="F65" s="16"/>
      <c r="G65" s="16"/>
      <c r="H65" s="16"/>
    </row>
    <row r="66" customFormat="false" ht="31.5" hidden="false" customHeight="true" outlineLevel="0" collapsed="false">
      <c r="A66" s="16" t="s">
        <v>215</v>
      </c>
      <c r="B66" s="16" t="s">
        <v>236</v>
      </c>
      <c r="C66" s="16" t="s">
        <v>237</v>
      </c>
      <c r="D66" s="16" t="s">
        <v>240</v>
      </c>
      <c r="E66" s="16" t="s">
        <v>241</v>
      </c>
      <c r="F66" s="16"/>
      <c r="G66" s="16"/>
      <c r="H66" s="16"/>
    </row>
    <row r="67" customFormat="false" ht="31.5" hidden="false" customHeight="true" outlineLevel="0" collapsed="false">
      <c r="A67" s="16" t="s">
        <v>215</v>
      </c>
      <c r="B67" s="16" t="s">
        <v>236</v>
      </c>
      <c r="C67" s="16" t="s">
        <v>237</v>
      </c>
      <c r="D67" s="16" t="s">
        <v>242</v>
      </c>
      <c r="E67" s="16" t="s">
        <v>243</v>
      </c>
      <c r="F67" s="16"/>
      <c r="G67" s="16"/>
      <c r="H67" s="16"/>
    </row>
    <row r="68" customFormat="false" ht="31.5" hidden="false" customHeight="true" outlineLevel="0" collapsed="false">
      <c r="A68" s="16" t="s">
        <v>215</v>
      </c>
      <c r="B68" s="16" t="s">
        <v>236</v>
      </c>
      <c r="C68" s="16" t="s">
        <v>237</v>
      </c>
      <c r="D68" s="16" t="s">
        <v>244</v>
      </c>
      <c r="E68" s="16" t="s">
        <v>245</v>
      </c>
      <c r="F68" s="16"/>
      <c r="G68" s="16"/>
      <c r="H68" s="16"/>
    </row>
    <row r="69" customFormat="false" ht="31.5" hidden="false" customHeight="true" outlineLevel="0" collapsed="false">
      <c r="A69" s="16" t="s">
        <v>215</v>
      </c>
      <c r="B69" s="16" t="s">
        <v>246</v>
      </c>
      <c r="C69" s="16" t="s">
        <v>247</v>
      </c>
      <c r="D69" s="16" t="s">
        <v>248</v>
      </c>
      <c r="E69" s="16" t="s">
        <v>249</v>
      </c>
      <c r="F69" s="16"/>
      <c r="G69" s="16"/>
      <c r="H69" s="16"/>
    </row>
    <row r="70" customFormat="false" ht="31.5" hidden="false" customHeight="true" outlineLevel="0" collapsed="false">
      <c r="A70" s="16" t="s">
        <v>215</v>
      </c>
      <c r="B70" s="16" t="s">
        <v>246</v>
      </c>
      <c r="C70" s="16" t="s">
        <v>247</v>
      </c>
      <c r="D70" s="16" t="s">
        <v>250</v>
      </c>
      <c r="E70" s="16" t="s">
        <v>251</v>
      </c>
      <c r="F70" s="16"/>
      <c r="G70" s="16"/>
      <c r="H70" s="16"/>
    </row>
    <row r="71" customFormat="false" ht="31.5" hidden="false" customHeight="true" outlineLevel="0" collapsed="false">
      <c r="A71" s="16" t="s">
        <v>215</v>
      </c>
      <c r="B71" s="16" t="s">
        <v>246</v>
      </c>
      <c r="C71" s="16" t="s">
        <v>247</v>
      </c>
      <c r="D71" s="16" t="s">
        <v>252</v>
      </c>
      <c r="E71" s="16" t="s">
        <v>253</v>
      </c>
      <c r="F71" s="16"/>
      <c r="G71" s="16"/>
      <c r="H71" s="16"/>
    </row>
    <row r="72" customFormat="false" ht="31.5" hidden="false" customHeight="true" outlineLevel="0" collapsed="false">
      <c r="A72" s="16" t="s">
        <v>215</v>
      </c>
      <c r="B72" s="16" t="s">
        <v>246</v>
      </c>
      <c r="C72" s="16" t="s">
        <v>247</v>
      </c>
      <c r="D72" s="16" t="s">
        <v>254</v>
      </c>
      <c r="E72" s="16" t="s">
        <v>255</v>
      </c>
      <c r="F72" s="16"/>
      <c r="G72" s="16"/>
      <c r="H72" s="16"/>
    </row>
    <row r="73" customFormat="false" ht="31.5" hidden="false" customHeight="true" outlineLevel="0" collapsed="false">
      <c r="A73" s="16" t="s">
        <v>215</v>
      </c>
      <c r="B73" s="16" t="s">
        <v>246</v>
      </c>
      <c r="C73" s="16" t="s">
        <v>247</v>
      </c>
      <c r="D73" s="16" t="s">
        <v>256</v>
      </c>
      <c r="E73" s="16" t="s">
        <v>257</v>
      </c>
      <c r="F73" s="16"/>
      <c r="G73" s="16"/>
      <c r="H73" s="16"/>
    </row>
    <row r="74" customFormat="false" ht="31.5" hidden="false" customHeight="true" outlineLevel="0" collapsed="false">
      <c r="A74" s="16" t="s">
        <v>215</v>
      </c>
      <c r="B74" s="16" t="s">
        <v>246</v>
      </c>
      <c r="C74" s="16" t="s">
        <v>247</v>
      </c>
      <c r="D74" s="16" t="s">
        <v>258</v>
      </c>
      <c r="E74" s="16" t="s">
        <v>259</v>
      </c>
      <c r="F74" s="16"/>
      <c r="G74" s="16"/>
      <c r="H74" s="16"/>
    </row>
    <row r="75" customFormat="false" ht="31.5" hidden="false" customHeight="true" outlineLevel="0" collapsed="false">
      <c r="A75" s="16" t="s">
        <v>215</v>
      </c>
      <c r="B75" s="16" t="s">
        <v>260</v>
      </c>
      <c r="C75" s="16" t="s">
        <v>261</v>
      </c>
      <c r="D75" s="16" t="s">
        <v>262</v>
      </c>
      <c r="E75" s="16" t="s">
        <v>263</v>
      </c>
      <c r="F75" s="16"/>
      <c r="G75" s="16"/>
      <c r="H75" s="16"/>
    </row>
    <row r="76" customFormat="false" ht="31.5" hidden="false" customHeight="true" outlineLevel="0" collapsed="false">
      <c r="A76" s="16" t="s">
        <v>215</v>
      </c>
      <c r="B76" s="16" t="s">
        <v>260</v>
      </c>
      <c r="C76" s="16" t="s">
        <v>261</v>
      </c>
      <c r="D76" s="16" t="s">
        <v>264</v>
      </c>
      <c r="E76" s="16" t="s">
        <v>265</v>
      </c>
      <c r="F76" s="16"/>
      <c r="G76" s="16"/>
      <c r="H76" s="16"/>
    </row>
    <row r="77" customFormat="false" ht="31.5" hidden="false" customHeight="true" outlineLevel="0" collapsed="false">
      <c r="A77" s="16" t="s">
        <v>215</v>
      </c>
      <c r="B77" s="16" t="s">
        <v>260</v>
      </c>
      <c r="C77" s="16" t="s">
        <v>261</v>
      </c>
      <c r="D77" s="16" t="s">
        <v>266</v>
      </c>
      <c r="E77" s="16" t="s">
        <v>267</v>
      </c>
      <c r="F77" s="16"/>
      <c r="G77" s="16"/>
      <c r="H77" s="16"/>
    </row>
    <row r="78" customFormat="false" ht="31.5" hidden="false" customHeight="true" outlineLevel="0" collapsed="false">
      <c r="A78" s="16" t="s">
        <v>215</v>
      </c>
      <c r="B78" s="16" t="s">
        <v>260</v>
      </c>
      <c r="C78" s="16" t="s">
        <v>261</v>
      </c>
      <c r="D78" s="16" t="s">
        <v>268</v>
      </c>
      <c r="E78" s="16" t="s">
        <v>269</v>
      </c>
      <c r="F78" s="16"/>
      <c r="G78" s="16"/>
      <c r="H78" s="16"/>
    </row>
    <row r="79" customFormat="false" ht="31.5" hidden="false" customHeight="true" outlineLevel="0" collapsed="false">
      <c r="A79" s="16" t="s">
        <v>270</v>
      </c>
      <c r="B79" s="16" t="s">
        <v>271</v>
      </c>
      <c r="C79" s="16" t="s">
        <v>272</v>
      </c>
      <c r="D79" s="16" t="s">
        <v>273</v>
      </c>
      <c r="E79" s="16" t="s">
        <v>274</v>
      </c>
      <c r="F79" s="16"/>
      <c r="G79" s="16"/>
      <c r="H79" s="16"/>
    </row>
    <row r="80" customFormat="false" ht="31.5" hidden="false" customHeight="true" outlineLevel="0" collapsed="false">
      <c r="A80" s="16" t="s">
        <v>270</v>
      </c>
      <c r="B80" s="16" t="s">
        <v>271</v>
      </c>
      <c r="C80" s="16" t="s">
        <v>272</v>
      </c>
      <c r="D80" s="16" t="s">
        <v>275</v>
      </c>
      <c r="E80" s="16" t="s">
        <v>276</v>
      </c>
      <c r="F80" s="16"/>
      <c r="G80" s="16"/>
      <c r="H80" s="16"/>
    </row>
    <row r="81" customFormat="false" ht="31.5" hidden="false" customHeight="true" outlineLevel="0" collapsed="false">
      <c r="A81" s="16" t="s">
        <v>270</v>
      </c>
      <c r="B81" s="16" t="s">
        <v>271</v>
      </c>
      <c r="C81" s="16" t="s">
        <v>272</v>
      </c>
      <c r="D81" s="16" t="s">
        <v>277</v>
      </c>
      <c r="E81" s="16" t="s">
        <v>278</v>
      </c>
      <c r="F81" s="16"/>
      <c r="G81" s="16"/>
      <c r="H81" s="16"/>
    </row>
    <row r="82" customFormat="false" ht="31.5" hidden="false" customHeight="true" outlineLevel="0" collapsed="false">
      <c r="A82" s="16" t="s">
        <v>270</v>
      </c>
      <c r="B82" s="16" t="s">
        <v>271</v>
      </c>
      <c r="C82" s="16" t="s">
        <v>272</v>
      </c>
      <c r="D82" s="16" t="s">
        <v>279</v>
      </c>
      <c r="E82" s="16" t="s">
        <v>280</v>
      </c>
      <c r="F82" s="16"/>
      <c r="G82" s="16"/>
      <c r="H82" s="16"/>
    </row>
    <row r="83" customFormat="false" ht="31.5" hidden="false" customHeight="true" outlineLevel="0" collapsed="false">
      <c r="A83" s="16" t="s">
        <v>270</v>
      </c>
      <c r="B83" s="16" t="s">
        <v>271</v>
      </c>
      <c r="C83" s="16" t="s">
        <v>272</v>
      </c>
      <c r="D83" s="16" t="s">
        <v>281</v>
      </c>
      <c r="E83" s="16" t="s">
        <v>282</v>
      </c>
      <c r="F83" s="16"/>
      <c r="G83" s="16"/>
      <c r="H83" s="16"/>
    </row>
    <row r="84" customFormat="false" ht="31.5" hidden="false" customHeight="true" outlineLevel="0" collapsed="false">
      <c r="A84" s="16" t="s">
        <v>270</v>
      </c>
      <c r="B84" s="16" t="s">
        <v>283</v>
      </c>
      <c r="C84" s="16" t="s">
        <v>284</v>
      </c>
      <c r="D84" s="16" t="s">
        <v>285</v>
      </c>
      <c r="E84" s="16" t="s">
        <v>286</v>
      </c>
      <c r="F84" s="16"/>
      <c r="G84" s="16"/>
      <c r="H84" s="16"/>
    </row>
    <row r="85" customFormat="false" ht="31.5" hidden="false" customHeight="true" outlineLevel="0" collapsed="false">
      <c r="A85" s="16" t="s">
        <v>270</v>
      </c>
      <c r="B85" s="16" t="s">
        <v>283</v>
      </c>
      <c r="C85" s="16" t="s">
        <v>284</v>
      </c>
      <c r="D85" s="16" t="s">
        <v>287</v>
      </c>
      <c r="E85" s="16" t="s">
        <v>288</v>
      </c>
      <c r="F85" s="16"/>
      <c r="G85" s="16"/>
      <c r="H85" s="16"/>
    </row>
    <row r="86" customFormat="false" ht="31.5" hidden="false" customHeight="true" outlineLevel="0" collapsed="false">
      <c r="A86" s="16" t="s">
        <v>270</v>
      </c>
      <c r="B86" s="16" t="s">
        <v>283</v>
      </c>
      <c r="C86" s="16" t="s">
        <v>284</v>
      </c>
      <c r="D86" s="16" t="s">
        <v>289</v>
      </c>
      <c r="E86" s="16" t="s">
        <v>290</v>
      </c>
      <c r="F86" s="16"/>
      <c r="G86" s="16"/>
      <c r="H86" s="16"/>
    </row>
    <row r="87" customFormat="false" ht="31.5" hidden="false" customHeight="true" outlineLevel="0" collapsed="false">
      <c r="A87" s="16" t="s">
        <v>270</v>
      </c>
      <c r="B87" s="16" t="s">
        <v>283</v>
      </c>
      <c r="C87" s="16" t="s">
        <v>284</v>
      </c>
      <c r="D87" s="16" t="s">
        <v>291</v>
      </c>
      <c r="E87" s="16" t="s">
        <v>292</v>
      </c>
      <c r="F87" s="16"/>
      <c r="G87" s="16"/>
      <c r="H87" s="16"/>
    </row>
    <row r="88" customFormat="false" ht="31.5" hidden="false" customHeight="true" outlineLevel="0" collapsed="false">
      <c r="A88" s="16" t="s">
        <v>270</v>
      </c>
      <c r="B88" s="16" t="s">
        <v>283</v>
      </c>
      <c r="C88" s="16" t="s">
        <v>284</v>
      </c>
      <c r="D88" s="16" t="s">
        <v>293</v>
      </c>
      <c r="E88" s="16" t="s">
        <v>294</v>
      </c>
      <c r="F88" s="16"/>
      <c r="G88" s="16"/>
      <c r="H88" s="16"/>
    </row>
    <row r="89" customFormat="false" ht="31.5" hidden="false" customHeight="true" outlineLevel="0" collapsed="false">
      <c r="A89" s="16" t="s">
        <v>270</v>
      </c>
      <c r="B89" s="16" t="s">
        <v>283</v>
      </c>
      <c r="C89" s="16" t="s">
        <v>284</v>
      </c>
      <c r="D89" s="16" t="s">
        <v>295</v>
      </c>
      <c r="E89" s="16" t="s">
        <v>296</v>
      </c>
      <c r="F89" s="16"/>
      <c r="G89" s="16"/>
      <c r="H89" s="16"/>
    </row>
    <row r="90" customFormat="false" ht="31.5" hidden="false" customHeight="true" outlineLevel="0" collapsed="false">
      <c r="A90" s="16" t="s">
        <v>297</v>
      </c>
      <c r="B90" s="16" t="s">
        <v>298</v>
      </c>
      <c r="C90" s="16" t="s">
        <v>299</v>
      </c>
      <c r="D90" s="16" t="s">
        <v>300</v>
      </c>
      <c r="E90" s="16" t="s">
        <v>301</v>
      </c>
      <c r="F90" s="16"/>
      <c r="G90" s="16"/>
      <c r="H90" s="16"/>
    </row>
    <row r="91" customFormat="false" ht="31.5" hidden="false" customHeight="true" outlineLevel="0" collapsed="false">
      <c r="A91" s="16" t="s">
        <v>297</v>
      </c>
      <c r="B91" s="16" t="s">
        <v>298</v>
      </c>
      <c r="C91" s="16" t="s">
        <v>299</v>
      </c>
      <c r="D91" s="16" t="s">
        <v>302</v>
      </c>
      <c r="E91" s="16" t="s">
        <v>303</v>
      </c>
      <c r="F91" s="16"/>
      <c r="G91" s="16"/>
      <c r="H91" s="16"/>
    </row>
    <row r="92" customFormat="false" ht="31.5" hidden="false" customHeight="true" outlineLevel="0" collapsed="false">
      <c r="A92" s="16" t="s">
        <v>297</v>
      </c>
      <c r="B92" s="16" t="s">
        <v>298</v>
      </c>
      <c r="C92" s="16" t="s">
        <v>299</v>
      </c>
      <c r="D92" s="16" t="s">
        <v>304</v>
      </c>
      <c r="E92" s="16" t="s">
        <v>305</v>
      </c>
      <c r="F92" s="16"/>
      <c r="G92" s="16"/>
      <c r="H92" s="16"/>
    </row>
    <row r="93" customFormat="false" ht="31.5" hidden="false" customHeight="true" outlineLevel="0" collapsed="false">
      <c r="A93" s="16" t="s">
        <v>297</v>
      </c>
      <c r="B93" s="16" t="s">
        <v>298</v>
      </c>
      <c r="C93" s="16" t="s">
        <v>299</v>
      </c>
      <c r="D93" s="16" t="s">
        <v>306</v>
      </c>
      <c r="E93" s="16" t="s">
        <v>307</v>
      </c>
      <c r="F93" s="16"/>
      <c r="G93" s="16"/>
      <c r="H93" s="16"/>
    </row>
    <row r="94" customFormat="false" ht="31.5" hidden="false" customHeight="true" outlineLevel="0" collapsed="false">
      <c r="A94" s="16" t="s">
        <v>297</v>
      </c>
      <c r="B94" s="16" t="s">
        <v>298</v>
      </c>
      <c r="C94" s="16" t="s">
        <v>299</v>
      </c>
      <c r="D94" s="16" t="s">
        <v>308</v>
      </c>
      <c r="E94" s="16" t="s">
        <v>309</v>
      </c>
      <c r="F94" s="16"/>
      <c r="G94" s="16"/>
      <c r="H94" s="16"/>
    </row>
    <row r="95" customFormat="false" ht="31.5" hidden="false" customHeight="true" outlineLevel="0" collapsed="false">
      <c r="A95" s="16" t="s">
        <v>297</v>
      </c>
      <c r="B95" s="16" t="s">
        <v>310</v>
      </c>
      <c r="C95" s="16" t="s">
        <v>311</v>
      </c>
      <c r="D95" s="16" t="s">
        <v>312</v>
      </c>
      <c r="E95" s="16" t="s">
        <v>313</v>
      </c>
      <c r="F95" s="16"/>
      <c r="G95" s="16"/>
      <c r="H95" s="16"/>
    </row>
    <row r="96" customFormat="false" ht="31.5" hidden="false" customHeight="true" outlineLevel="0" collapsed="false">
      <c r="A96" s="16" t="s">
        <v>297</v>
      </c>
      <c r="B96" s="16" t="s">
        <v>310</v>
      </c>
      <c r="C96" s="16" t="s">
        <v>311</v>
      </c>
      <c r="D96" s="16" t="s">
        <v>314</v>
      </c>
      <c r="E96" s="16" t="s">
        <v>315</v>
      </c>
      <c r="F96" s="16"/>
      <c r="G96" s="16"/>
      <c r="H96" s="16"/>
    </row>
    <row r="97" customFormat="false" ht="31.5" hidden="false" customHeight="true" outlineLevel="0" collapsed="false">
      <c r="A97" s="16" t="s">
        <v>297</v>
      </c>
      <c r="B97" s="16" t="s">
        <v>310</v>
      </c>
      <c r="C97" s="16" t="s">
        <v>311</v>
      </c>
      <c r="D97" s="16" t="s">
        <v>316</v>
      </c>
      <c r="E97" s="16" t="s">
        <v>317</v>
      </c>
      <c r="F97" s="16"/>
      <c r="G97" s="16"/>
      <c r="H97" s="16"/>
    </row>
    <row r="98" customFormat="false" ht="31.5" hidden="false" customHeight="true" outlineLevel="0" collapsed="false">
      <c r="A98" s="16" t="s">
        <v>297</v>
      </c>
      <c r="B98" s="16" t="s">
        <v>310</v>
      </c>
      <c r="C98" s="16" t="s">
        <v>311</v>
      </c>
      <c r="D98" s="16" t="s">
        <v>318</v>
      </c>
      <c r="E98" s="16" t="s">
        <v>319</v>
      </c>
      <c r="F98" s="16"/>
      <c r="G98" s="16"/>
      <c r="H98" s="16"/>
    </row>
    <row r="99" customFormat="false" ht="31.5" hidden="false" customHeight="true" outlineLevel="0" collapsed="false">
      <c r="A99" s="16" t="s">
        <v>297</v>
      </c>
      <c r="B99" s="16" t="s">
        <v>320</v>
      </c>
      <c r="C99" s="16" t="s">
        <v>321</v>
      </c>
      <c r="D99" s="16" t="s">
        <v>322</v>
      </c>
      <c r="E99" s="16" t="s">
        <v>323</v>
      </c>
      <c r="F99" s="16"/>
      <c r="G99" s="16"/>
      <c r="H99" s="16"/>
    </row>
    <row r="100" customFormat="false" ht="31.5" hidden="false" customHeight="true" outlineLevel="0" collapsed="false">
      <c r="A100" s="16" t="s">
        <v>297</v>
      </c>
      <c r="B100" s="16" t="s">
        <v>320</v>
      </c>
      <c r="C100" s="16" t="s">
        <v>321</v>
      </c>
      <c r="D100" s="16" t="s">
        <v>324</v>
      </c>
      <c r="E100" s="16" t="s">
        <v>325</v>
      </c>
      <c r="F100" s="16"/>
      <c r="G100" s="16"/>
      <c r="H100" s="16"/>
    </row>
    <row r="101" customFormat="false" ht="31.5" hidden="false" customHeight="true" outlineLevel="0" collapsed="false">
      <c r="A101" s="16" t="s">
        <v>297</v>
      </c>
      <c r="B101" s="16" t="s">
        <v>326</v>
      </c>
      <c r="C101" s="16" t="s">
        <v>327</v>
      </c>
      <c r="D101" s="16" t="s">
        <v>328</v>
      </c>
      <c r="E101" s="16" t="s">
        <v>329</v>
      </c>
      <c r="F101" s="16"/>
      <c r="G101" s="16"/>
      <c r="H101" s="16"/>
    </row>
    <row r="102" customFormat="false" ht="31.5" hidden="false" customHeight="true" outlineLevel="0" collapsed="false">
      <c r="A102" s="16" t="s">
        <v>297</v>
      </c>
      <c r="B102" s="16" t="s">
        <v>326</v>
      </c>
      <c r="C102" s="16" t="s">
        <v>327</v>
      </c>
      <c r="D102" s="16" t="s">
        <v>330</v>
      </c>
      <c r="E102" s="16" t="s">
        <v>331</v>
      </c>
      <c r="F102" s="16"/>
      <c r="G102" s="16"/>
      <c r="H102" s="16"/>
    </row>
    <row r="103" customFormat="false" ht="31.5" hidden="false" customHeight="true" outlineLevel="0" collapsed="false">
      <c r="A103" s="16" t="s">
        <v>332</v>
      </c>
      <c r="B103" s="16" t="s">
        <v>333</v>
      </c>
      <c r="C103" s="16" t="s">
        <v>334</v>
      </c>
      <c r="D103" s="16" t="s">
        <v>335</v>
      </c>
      <c r="E103" s="16" t="s">
        <v>336</v>
      </c>
      <c r="F103" s="16"/>
      <c r="G103" s="16"/>
      <c r="H103" s="16"/>
    </row>
    <row r="104" customFormat="false" ht="31.5" hidden="false" customHeight="true" outlineLevel="0" collapsed="false">
      <c r="A104" s="16" t="s">
        <v>332</v>
      </c>
      <c r="B104" s="16" t="s">
        <v>333</v>
      </c>
      <c r="C104" s="16" t="s">
        <v>334</v>
      </c>
      <c r="D104" s="16" t="s">
        <v>337</v>
      </c>
      <c r="E104" s="16" t="s">
        <v>338</v>
      </c>
      <c r="F104" s="16"/>
      <c r="G104" s="16"/>
      <c r="H104" s="16"/>
    </row>
    <row r="105" customFormat="false" ht="31.5" hidden="false" customHeight="true" outlineLevel="0" collapsed="false">
      <c r="A105" s="16" t="s">
        <v>332</v>
      </c>
      <c r="B105" s="16" t="s">
        <v>333</v>
      </c>
      <c r="C105" s="16" t="s">
        <v>334</v>
      </c>
      <c r="D105" s="16" t="s">
        <v>339</v>
      </c>
      <c r="E105" s="16" t="s">
        <v>340</v>
      </c>
      <c r="F105" s="16"/>
      <c r="G105" s="16"/>
      <c r="H105" s="16"/>
    </row>
    <row r="106" customFormat="false" ht="31.5" hidden="false" customHeight="true" outlineLevel="0" collapsed="false">
      <c r="A106" s="16" t="s">
        <v>332</v>
      </c>
      <c r="B106" s="16" t="s">
        <v>333</v>
      </c>
      <c r="C106" s="16" t="s">
        <v>334</v>
      </c>
      <c r="D106" s="16" t="s">
        <v>341</v>
      </c>
      <c r="E106" s="16" t="s">
        <v>342</v>
      </c>
      <c r="F106" s="16"/>
      <c r="G106" s="16"/>
      <c r="H106" s="16"/>
    </row>
    <row r="107" customFormat="false" ht="31.5" hidden="false" customHeight="true" outlineLevel="0" collapsed="false">
      <c r="A107" s="16" t="s">
        <v>332</v>
      </c>
      <c r="B107" s="16" t="s">
        <v>333</v>
      </c>
      <c r="C107" s="16" t="s">
        <v>334</v>
      </c>
      <c r="D107" s="16" t="s">
        <v>343</v>
      </c>
      <c r="E107" s="16" t="s">
        <v>344</v>
      </c>
      <c r="F107" s="16"/>
      <c r="G107" s="16"/>
      <c r="H107" s="16"/>
    </row>
    <row r="108" customFormat="false" ht="31.5" hidden="false" customHeight="true" outlineLevel="0" collapsed="false">
      <c r="A108" s="16" t="s">
        <v>332</v>
      </c>
      <c r="B108" s="16" t="s">
        <v>333</v>
      </c>
      <c r="C108" s="16" t="s">
        <v>334</v>
      </c>
      <c r="D108" s="16" t="s">
        <v>345</v>
      </c>
      <c r="E108" s="16" t="s">
        <v>346</v>
      </c>
      <c r="F108" s="16"/>
      <c r="G108" s="16"/>
      <c r="H108" s="16"/>
    </row>
    <row r="109" customFormat="false" ht="31.5" hidden="false" customHeight="true" outlineLevel="0" collapsed="false">
      <c r="A109" s="16" t="s">
        <v>332</v>
      </c>
      <c r="B109" s="16" t="s">
        <v>347</v>
      </c>
      <c r="C109" s="16" t="s">
        <v>348</v>
      </c>
      <c r="D109" s="16" t="s">
        <v>349</v>
      </c>
      <c r="E109" s="16" t="s">
        <v>350</v>
      </c>
      <c r="F109" s="16"/>
      <c r="G109" s="16"/>
      <c r="H109" s="16"/>
    </row>
    <row r="110" customFormat="false" ht="31.5" hidden="false" customHeight="true" outlineLevel="0" collapsed="false">
      <c r="A110" s="16" t="s">
        <v>332</v>
      </c>
      <c r="B110" s="16" t="s">
        <v>347</v>
      </c>
      <c r="C110" s="16" t="s">
        <v>348</v>
      </c>
      <c r="D110" s="16" t="s">
        <v>351</v>
      </c>
      <c r="E110" s="16" t="s">
        <v>352</v>
      </c>
      <c r="F110" s="16"/>
      <c r="G110" s="16"/>
      <c r="H110" s="16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F5:F110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5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2" t="s">
        <v>353</v>
      </c>
      <c r="B1" s="2"/>
      <c r="C1" s="2"/>
    </row>
    <row r="2" customFormat="false" ht="18" hidden="false" customHeight="true" outlineLevel="0" collapsed="false">
      <c r="A2" s="3" t="s">
        <v>354</v>
      </c>
      <c r="B2" s="3"/>
      <c r="C2" s="3"/>
    </row>
    <row r="4" customFormat="false" ht="21.75" hidden="false" customHeight="true" outlineLevel="0" collapsed="false">
      <c r="A4" s="17" t="s">
        <v>355</v>
      </c>
      <c r="B4" s="17"/>
      <c r="C4" s="17"/>
    </row>
    <row r="5" customFormat="false" ht="21.75" hidden="false" customHeight="true" outlineLevel="0" collapsed="false">
      <c r="A5" s="9" t="s">
        <v>356</v>
      </c>
      <c r="B5" s="9" t="s">
        <v>357</v>
      </c>
      <c r="C5" s="9" t="s">
        <v>358</v>
      </c>
    </row>
    <row r="6" customFormat="false" ht="39.75" hidden="false" customHeight="true" outlineLevel="0" collapsed="false">
      <c r="A6" s="10" t="s">
        <v>359</v>
      </c>
      <c r="B6" s="10" t="s">
        <v>360</v>
      </c>
      <c r="C6" s="10" t="s">
        <v>361</v>
      </c>
    </row>
    <row r="7" customFormat="false" ht="39.75" hidden="false" customHeight="true" outlineLevel="0" collapsed="false">
      <c r="A7" s="11" t="s">
        <v>362</v>
      </c>
      <c r="B7" s="11" t="s">
        <v>363</v>
      </c>
      <c r="C7" s="11" t="s">
        <v>364</v>
      </c>
    </row>
    <row r="8" customFormat="false" ht="39.75" hidden="false" customHeight="true" outlineLevel="0" collapsed="false">
      <c r="A8" s="10" t="s">
        <v>365</v>
      </c>
      <c r="B8" s="10" t="s">
        <v>366</v>
      </c>
      <c r="C8" s="10" t="s">
        <v>367</v>
      </c>
    </row>
    <row r="9" customFormat="false" ht="39.75" hidden="false" customHeight="true" outlineLevel="0" collapsed="false">
      <c r="A9" s="11" t="s">
        <v>368</v>
      </c>
      <c r="B9" s="11" t="s">
        <v>369</v>
      </c>
      <c r="C9" s="11" t="s">
        <v>370</v>
      </c>
    </row>
    <row r="11" customFormat="false" ht="21.75" hidden="false" customHeight="true" outlineLevel="0" collapsed="false">
      <c r="A11" s="17" t="s">
        <v>371</v>
      </c>
      <c r="B11" s="17"/>
      <c r="C11" s="17"/>
    </row>
    <row r="12" customFormat="false" ht="31.5" hidden="false" customHeight="true" outlineLevel="0" collapsed="false">
      <c r="A12" s="12" t="s">
        <v>372</v>
      </c>
      <c r="B12" s="13" t="s">
        <v>373</v>
      </c>
      <c r="C12" s="13"/>
    </row>
    <row r="13" customFormat="false" ht="31.5" hidden="false" customHeight="true" outlineLevel="0" collapsed="false">
      <c r="A13" s="12" t="s">
        <v>374</v>
      </c>
      <c r="B13" s="13" t="s">
        <v>375</v>
      </c>
      <c r="C13" s="13"/>
    </row>
    <row r="14" customFormat="false" ht="31.5" hidden="false" customHeight="true" outlineLevel="0" collapsed="false">
      <c r="A14" s="12" t="s">
        <v>376</v>
      </c>
      <c r="B14" s="13" t="s">
        <v>377</v>
      </c>
      <c r="C14" s="13"/>
    </row>
    <row r="16" customFormat="false" ht="21.75" hidden="false" customHeight="true" outlineLevel="0" collapsed="false">
      <c r="A16" s="17" t="s">
        <v>378</v>
      </c>
      <c r="B16" s="17"/>
      <c r="C16" s="17"/>
    </row>
    <row r="17" customFormat="false" ht="21.75" hidden="false" customHeight="true" outlineLevel="0" collapsed="false">
      <c r="A17" s="9" t="s">
        <v>81</v>
      </c>
      <c r="B17" s="9" t="s">
        <v>379</v>
      </c>
      <c r="C17" s="9" t="s">
        <v>380</v>
      </c>
    </row>
    <row r="18" customFormat="false" ht="23.85" hidden="false" customHeight="false" outlineLevel="0" collapsed="false">
      <c r="A18" s="14" t="s">
        <v>89</v>
      </c>
      <c r="B18" s="14" t="s">
        <v>381</v>
      </c>
      <c r="C18" s="14" t="s">
        <v>382</v>
      </c>
    </row>
    <row r="19" customFormat="false" ht="25.5" hidden="false" customHeight="true" outlineLevel="0" collapsed="false">
      <c r="A19" s="16" t="s">
        <v>166</v>
      </c>
      <c r="B19" s="16"/>
      <c r="C19" s="16"/>
    </row>
    <row r="20" customFormat="false" ht="25.5" hidden="false" customHeight="true" outlineLevel="0" collapsed="false">
      <c r="A20" s="16" t="s">
        <v>215</v>
      </c>
      <c r="B20" s="16"/>
      <c r="C20" s="16"/>
    </row>
    <row r="21" customFormat="false" ht="25.5" hidden="false" customHeight="true" outlineLevel="0" collapsed="false">
      <c r="A21" s="16" t="s">
        <v>270</v>
      </c>
      <c r="B21" s="16"/>
      <c r="C21" s="16"/>
    </row>
    <row r="22" customFormat="false" ht="25.5" hidden="false" customHeight="true" outlineLevel="0" collapsed="false">
      <c r="A22" s="16" t="s">
        <v>297</v>
      </c>
      <c r="B22" s="16"/>
      <c r="C22" s="16"/>
    </row>
    <row r="23" customFormat="false" ht="25.5" hidden="false" customHeight="true" outlineLevel="0" collapsed="false">
      <c r="A23" s="16" t="s">
        <v>332</v>
      </c>
      <c r="B23" s="16"/>
      <c r="C23" s="16"/>
    </row>
    <row r="25" customFormat="false" ht="21.75" hidden="false" customHeight="true" outlineLevel="0" collapsed="false">
      <c r="A25" s="17" t="s">
        <v>383</v>
      </c>
      <c r="B25" s="17"/>
      <c r="C25" s="17"/>
    </row>
    <row r="26" customFormat="false" ht="21.75" hidden="false" customHeight="true" outlineLevel="0" collapsed="false">
      <c r="A26" s="9" t="s">
        <v>384</v>
      </c>
      <c r="B26" s="9" t="s">
        <v>83</v>
      </c>
      <c r="C26" s="9" t="s">
        <v>385</v>
      </c>
    </row>
    <row r="27" customFormat="false" ht="21.75" hidden="false" customHeight="true" outlineLevel="0" collapsed="false">
      <c r="A27" s="14" t="s">
        <v>90</v>
      </c>
      <c r="B27" s="14" t="s">
        <v>91</v>
      </c>
      <c r="C27" s="14" t="n">
        <v>3</v>
      </c>
    </row>
    <row r="28" customFormat="false" ht="21.75" hidden="false" customHeight="true" outlineLevel="0" collapsed="false">
      <c r="A28" s="16" t="s">
        <v>104</v>
      </c>
      <c r="B28" s="16" t="s">
        <v>105</v>
      </c>
      <c r="C28" s="16"/>
    </row>
    <row r="29" customFormat="false" ht="21.75" hidden="false" customHeight="true" outlineLevel="0" collapsed="false">
      <c r="A29" s="16" t="s">
        <v>120</v>
      </c>
      <c r="B29" s="16" t="s">
        <v>121</v>
      </c>
      <c r="C29" s="16"/>
    </row>
    <row r="30" customFormat="false" ht="21.75" hidden="false" customHeight="true" outlineLevel="0" collapsed="false">
      <c r="A30" s="16" t="s">
        <v>130</v>
      </c>
      <c r="B30" s="16" t="s">
        <v>131</v>
      </c>
      <c r="C30" s="16"/>
    </row>
    <row r="31" customFormat="false" ht="21.75" hidden="false" customHeight="true" outlineLevel="0" collapsed="false">
      <c r="A31" s="16" t="s">
        <v>136</v>
      </c>
      <c r="B31" s="16" t="s">
        <v>137</v>
      </c>
      <c r="C31" s="16"/>
    </row>
    <row r="32" customFormat="false" ht="21.75" hidden="false" customHeight="true" outlineLevel="0" collapsed="false">
      <c r="A32" s="16" t="s">
        <v>144</v>
      </c>
      <c r="B32" s="16" t="s">
        <v>145</v>
      </c>
      <c r="C32" s="16"/>
    </row>
    <row r="33" customFormat="false" ht="21.75" hidden="false" customHeight="true" outlineLevel="0" collapsed="false">
      <c r="A33" s="16" t="s">
        <v>167</v>
      </c>
      <c r="B33" s="16" t="s">
        <v>168</v>
      </c>
      <c r="C33" s="16"/>
    </row>
    <row r="34" customFormat="false" ht="21.75" hidden="false" customHeight="true" outlineLevel="0" collapsed="false">
      <c r="A34" s="16" t="s">
        <v>183</v>
      </c>
      <c r="B34" s="16" t="s">
        <v>184</v>
      </c>
      <c r="C34" s="16"/>
    </row>
    <row r="35" customFormat="false" ht="21.75" hidden="false" customHeight="true" outlineLevel="0" collapsed="false">
      <c r="A35" s="16" t="s">
        <v>205</v>
      </c>
      <c r="B35" s="16" t="s">
        <v>206</v>
      </c>
      <c r="C35" s="16"/>
    </row>
    <row r="36" customFormat="false" ht="21.75" hidden="false" customHeight="true" outlineLevel="0" collapsed="false">
      <c r="A36" s="16" t="s">
        <v>216</v>
      </c>
      <c r="B36" s="16" t="s">
        <v>217</v>
      </c>
      <c r="C36" s="16"/>
    </row>
    <row r="37" customFormat="false" ht="21.75" hidden="false" customHeight="true" outlineLevel="0" collapsed="false">
      <c r="A37" s="16" t="s">
        <v>230</v>
      </c>
      <c r="B37" s="16" t="s">
        <v>231</v>
      </c>
      <c r="C37" s="16"/>
    </row>
    <row r="38" customFormat="false" ht="21.75" hidden="false" customHeight="true" outlineLevel="0" collapsed="false">
      <c r="A38" s="16" t="s">
        <v>236</v>
      </c>
      <c r="B38" s="16" t="s">
        <v>237</v>
      </c>
      <c r="C38" s="16"/>
    </row>
    <row r="39" customFormat="false" ht="21.75" hidden="false" customHeight="true" outlineLevel="0" collapsed="false">
      <c r="A39" s="16" t="s">
        <v>246</v>
      </c>
      <c r="B39" s="16" t="s">
        <v>247</v>
      </c>
      <c r="C39" s="16"/>
    </row>
    <row r="40" customFormat="false" ht="21.75" hidden="false" customHeight="true" outlineLevel="0" collapsed="false">
      <c r="A40" s="16" t="s">
        <v>260</v>
      </c>
      <c r="B40" s="16" t="s">
        <v>261</v>
      </c>
      <c r="C40" s="16"/>
    </row>
    <row r="41" customFormat="false" ht="21.75" hidden="false" customHeight="true" outlineLevel="0" collapsed="false">
      <c r="A41" s="16" t="s">
        <v>271</v>
      </c>
      <c r="B41" s="16" t="s">
        <v>272</v>
      </c>
      <c r="C41" s="16"/>
    </row>
    <row r="42" customFormat="false" ht="21.75" hidden="false" customHeight="true" outlineLevel="0" collapsed="false">
      <c r="A42" s="16" t="s">
        <v>283</v>
      </c>
      <c r="B42" s="16" t="s">
        <v>284</v>
      </c>
      <c r="C42" s="16"/>
    </row>
    <row r="43" customFormat="false" ht="21.75" hidden="false" customHeight="true" outlineLevel="0" collapsed="false">
      <c r="A43" s="16" t="s">
        <v>298</v>
      </c>
      <c r="B43" s="16" t="s">
        <v>299</v>
      </c>
      <c r="C43" s="16"/>
    </row>
    <row r="44" customFormat="false" ht="21.75" hidden="false" customHeight="true" outlineLevel="0" collapsed="false">
      <c r="A44" s="16" t="s">
        <v>310</v>
      </c>
      <c r="B44" s="16" t="s">
        <v>311</v>
      </c>
      <c r="C44" s="16"/>
    </row>
    <row r="45" customFormat="false" ht="21.75" hidden="false" customHeight="true" outlineLevel="0" collapsed="false">
      <c r="A45" s="16" t="s">
        <v>320</v>
      </c>
      <c r="B45" s="16" t="s">
        <v>321</v>
      </c>
      <c r="C45" s="16"/>
    </row>
    <row r="46" customFormat="false" ht="21.75" hidden="false" customHeight="true" outlineLevel="0" collapsed="false">
      <c r="A46" s="16" t="s">
        <v>326</v>
      </c>
      <c r="B46" s="16" t="s">
        <v>327</v>
      </c>
      <c r="C46" s="16"/>
    </row>
    <row r="47" customFormat="false" ht="21.75" hidden="false" customHeight="true" outlineLevel="0" collapsed="false">
      <c r="A47" s="16" t="s">
        <v>333</v>
      </c>
      <c r="B47" s="16" t="s">
        <v>334</v>
      </c>
      <c r="C47" s="16"/>
    </row>
    <row r="48" customFormat="false" ht="21.75" hidden="false" customHeight="true" outlineLevel="0" collapsed="false">
      <c r="A48" s="16" t="s">
        <v>347</v>
      </c>
      <c r="B48" s="16" t="s">
        <v>348</v>
      </c>
      <c r="C48" s="16"/>
    </row>
  </sheetData>
  <mergeCells count="9">
    <mergeCell ref="A1:C1"/>
    <mergeCell ref="A2:C2"/>
    <mergeCell ref="A4:C4"/>
    <mergeCell ref="A11:C11"/>
    <mergeCell ref="B12:C12"/>
    <mergeCell ref="B13:C13"/>
    <mergeCell ref="B14:C14"/>
    <mergeCell ref="A16:C16"/>
    <mergeCell ref="A25:C25"/>
  </mergeCells>
  <dataValidations count="2">
    <dataValidation allowBlank="true" errorStyle="stop" operator="between" showDropDown="false" showErrorMessage="false" showInputMessage="false" sqref="B18:B23" type="list">
      <formula1>"Tier 1 - Partial,Tier 2 - Risk Informed,Tier 3 - Repeatable,Tier 4 - Adaptive"</formula1>
      <formula2>0</formula2>
    </dataValidation>
    <dataValidation allowBlank="true" errorStyle="stop" operator="between" showDropDown="false" showErrorMessage="false" showInputMessage="false" sqref="C27:C48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7" min="7" style="1" width="44"/>
  </cols>
  <sheetData>
    <row r="1" customFormat="false" ht="27.75" hidden="false" customHeight="true" outlineLevel="0" collapsed="false">
      <c r="A1" s="2" t="s">
        <v>386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387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17" t="s">
        <v>388</v>
      </c>
      <c r="B4" s="17"/>
      <c r="C4" s="17"/>
      <c r="D4" s="17"/>
      <c r="E4" s="17"/>
      <c r="F4" s="17"/>
      <c r="G4" s="17"/>
    </row>
    <row r="5" customFormat="false" ht="31.5" hidden="false" customHeight="true" outlineLevel="0" collapsed="false">
      <c r="A5" s="9" t="s">
        <v>82</v>
      </c>
      <c r="B5" s="9" t="s">
        <v>83</v>
      </c>
      <c r="C5" s="9" t="s">
        <v>389</v>
      </c>
      <c r="D5" s="9" t="s">
        <v>390</v>
      </c>
      <c r="E5" s="9" t="s">
        <v>391</v>
      </c>
      <c r="F5" s="9" t="s">
        <v>392</v>
      </c>
      <c r="G5" s="9" t="s">
        <v>393</v>
      </c>
    </row>
    <row r="6" customFormat="false" ht="21.75" hidden="false" customHeight="true" outlineLevel="0" collapsed="false">
      <c r="A6" s="18" t="s">
        <v>90</v>
      </c>
      <c r="B6" s="18" t="s">
        <v>91</v>
      </c>
      <c r="C6" s="18" t="n">
        <f aca="false">IFERROR(AVERAGEIF('Template 2 - Current Profile'!$B$5:$B$110,A6,'Template 2 - Current Profile'!$F$5:$F$110),"")</f>
        <v>2</v>
      </c>
      <c r="D6" s="18" t="n">
        <f aca="false">IFERROR(IF(ISBLANK(INDEX('Template 3 - Target Profile'!$C$27:$C$48,MATCH(A6,'Template 3 - Target Profile'!$A$27:$A$48,0))),"",INDEX('Template 3 - Target Profile'!$C$27:$C$48,MATCH(A6,'Template 3 - Target Profile'!$A$27:$A$48,0))),"")</f>
        <v>3</v>
      </c>
      <c r="E6" s="19" t="n">
        <f aca="false">IFERROR(D6-C6,"")</f>
        <v>1</v>
      </c>
      <c r="F6" s="18"/>
      <c r="G6" s="18"/>
    </row>
    <row r="7" customFormat="false" ht="21.75" hidden="false" customHeight="true" outlineLevel="0" collapsed="false">
      <c r="A7" s="18" t="s">
        <v>104</v>
      </c>
      <c r="B7" s="18" t="s">
        <v>105</v>
      </c>
      <c r="C7" s="18" t="str">
        <f aca="false">IFERROR(AVERAGEIF('Template 2 - Current Profile'!$B$5:$B$110,A7,'Template 2 - Current Profile'!$F$5:$F$110),"")</f>
        <v/>
      </c>
      <c r="D7" s="18" t="str">
        <f aca="false">IFERROR(IF(ISBLANK(INDEX('Template 3 - Target Profile'!$C$27:$C$48,MATCH(A7,'Template 3 - Target Profile'!$A$27:$A$48,0))),"",INDEX('Template 3 - Target Profile'!$C$27:$C$48,MATCH(A7,'Template 3 - Target Profile'!$A$27:$A$48,0))),"")</f>
        <v/>
      </c>
      <c r="E7" s="19" t="str">
        <f aca="false">IFERROR(D7-C7,"")</f>
        <v/>
      </c>
      <c r="F7" s="18"/>
      <c r="G7" s="18"/>
    </row>
    <row r="8" customFormat="false" ht="21.75" hidden="false" customHeight="true" outlineLevel="0" collapsed="false">
      <c r="A8" s="18" t="s">
        <v>120</v>
      </c>
      <c r="B8" s="18" t="s">
        <v>121</v>
      </c>
      <c r="C8" s="18" t="str">
        <f aca="false">IFERROR(AVERAGEIF('Template 2 - Current Profile'!$B$5:$B$110,A8,'Template 2 - Current Profile'!$F$5:$F$110),"")</f>
        <v/>
      </c>
      <c r="D8" s="18" t="str">
        <f aca="false">IFERROR(IF(ISBLANK(INDEX('Template 3 - Target Profile'!$C$27:$C$48,MATCH(A8,'Template 3 - Target Profile'!$A$27:$A$48,0))),"",INDEX('Template 3 - Target Profile'!$C$27:$C$48,MATCH(A8,'Template 3 - Target Profile'!$A$27:$A$48,0))),"")</f>
        <v/>
      </c>
      <c r="E8" s="19" t="str">
        <f aca="false">IFERROR(D8-C8,"")</f>
        <v/>
      </c>
      <c r="F8" s="18"/>
      <c r="G8" s="18"/>
    </row>
    <row r="9" customFormat="false" ht="21.75" hidden="false" customHeight="true" outlineLevel="0" collapsed="false">
      <c r="A9" s="18" t="s">
        <v>130</v>
      </c>
      <c r="B9" s="18" t="s">
        <v>131</v>
      </c>
      <c r="C9" s="18" t="str">
        <f aca="false">IFERROR(AVERAGEIF('Template 2 - Current Profile'!$B$5:$B$110,A9,'Template 2 - Current Profile'!$F$5:$F$110),"")</f>
        <v/>
      </c>
      <c r="D9" s="18" t="str">
        <f aca="false">IFERROR(IF(ISBLANK(INDEX('Template 3 - Target Profile'!$C$27:$C$48,MATCH(A9,'Template 3 - Target Profile'!$A$27:$A$48,0))),"",INDEX('Template 3 - Target Profile'!$C$27:$C$48,MATCH(A9,'Template 3 - Target Profile'!$A$27:$A$48,0))),"")</f>
        <v/>
      </c>
      <c r="E9" s="19" t="str">
        <f aca="false">IFERROR(D9-C9,"")</f>
        <v/>
      </c>
      <c r="F9" s="18"/>
      <c r="G9" s="18"/>
    </row>
    <row r="10" customFormat="false" ht="21.75" hidden="false" customHeight="true" outlineLevel="0" collapsed="false">
      <c r="A10" s="18" t="s">
        <v>136</v>
      </c>
      <c r="B10" s="18" t="s">
        <v>137</v>
      </c>
      <c r="C10" s="18" t="str">
        <f aca="false">IFERROR(AVERAGEIF('Template 2 - Current Profile'!$B$5:$B$110,A10,'Template 2 - Current Profile'!$F$5:$F$110),"")</f>
        <v/>
      </c>
      <c r="D10" s="18" t="str">
        <f aca="false">IFERROR(IF(ISBLANK(INDEX('Template 3 - Target Profile'!$C$27:$C$48,MATCH(A10,'Template 3 - Target Profile'!$A$27:$A$48,0))),"",INDEX('Template 3 - Target Profile'!$C$27:$C$48,MATCH(A10,'Template 3 - Target Profile'!$A$27:$A$48,0))),"")</f>
        <v/>
      </c>
      <c r="E10" s="19" t="str">
        <f aca="false">IFERROR(D10-C10,"")</f>
        <v/>
      </c>
      <c r="F10" s="18"/>
      <c r="G10" s="18"/>
    </row>
    <row r="11" customFormat="false" ht="21.75" hidden="false" customHeight="true" outlineLevel="0" collapsed="false">
      <c r="A11" s="18" t="s">
        <v>144</v>
      </c>
      <c r="B11" s="18" t="s">
        <v>145</v>
      </c>
      <c r="C11" s="18" t="str">
        <f aca="false">IFERROR(AVERAGEIF('Template 2 - Current Profile'!$B$5:$B$110,A11,'Template 2 - Current Profile'!$F$5:$F$110),"")</f>
        <v/>
      </c>
      <c r="D11" s="18" t="str">
        <f aca="false">IFERROR(IF(ISBLANK(INDEX('Template 3 - Target Profile'!$C$27:$C$48,MATCH(A11,'Template 3 - Target Profile'!$A$27:$A$48,0))),"",INDEX('Template 3 - Target Profile'!$C$27:$C$48,MATCH(A11,'Template 3 - Target Profile'!$A$27:$A$48,0))),"")</f>
        <v/>
      </c>
      <c r="E11" s="19" t="str">
        <f aca="false">IFERROR(D11-C11,"")</f>
        <v/>
      </c>
      <c r="F11" s="18"/>
      <c r="G11" s="18"/>
    </row>
    <row r="12" customFormat="false" ht="21.75" hidden="false" customHeight="true" outlineLevel="0" collapsed="false">
      <c r="A12" s="18" t="s">
        <v>167</v>
      </c>
      <c r="B12" s="18" t="s">
        <v>168</v>
      </c>
      <c r="C12" s="18" t="str">
        <f aca="false">IFERROR(AVERAGEIF('Template 2 - Current Profile'!$B$5:$B$110,A12,'Template 2 - Current Profile'!$F$5:$F$110),"")</f>
        <v/>
      </c>
      <c r="D12" s="18" t="str">
        <f aca="false">IFERROR(IF(ISBLANK(INDEX('Template 3 - Target Profile'!$C$27:$C$48,MATCH(A12,'Template 3 - Target Profile'!$A$27:$A$48,0))),"",INDEX('Template 3 - Target Profile'!$C$27:$C$48,MATCH(A12,'Template 3 - Target Profile'!$A$27:$A$48,0))),"")</f>
        <v/>
      </c>
      <c r="E12" s="19" t="str">
        <f aca="false">IFERROR(D12-C12,"")</f>
        <v/>
      </c>
      <c r="F12" s="18"/>
      <c r="G12" s="18"/>
    </row>
    <row r="13" customFormat="false" ht="21.75" hidden="false" customHeight="true" outlineLevel="0" collapsed="false">
      <c r="A13" s="18" t="s">
        <v>183</v>
      </c>
      <c r="B13" s="18" t="s">
        <v>184</v>
      </c>
      <c r="C13" s="18" t="str">
        <f aca="false">IFERROR(AVERAGEIF('Template 2 - Current Profile'!$B$5:$B$110,A13,'Template 2 - Current Profile'!$F$5:$F$110),"")</f>
        <v/>
      </c>
      <c r="D13" s="18" t="str">
        <f aca="false">IFERROR(IF(ISBLANK(INDEX('Template 3 - Target Profile'!$C$27:$C$48,MATCH(A13,'Template 3 - Target Profile'!$A$27:$A$48,0))),"",INDEX('Template 3 - Target Profile'!$C$27:$C$48,MATCH(A13,'Template 3 - Target Profile'!$A$27:$A$48,0))),"")</f>
        <v/>
      </c>
      <c r="E13" s="19" t="str">
        <f aca="false">IFERROR(D13-C13,"")</f>
        <v/>
      </c>
      <c r="F13" s="18"/>
      <c r="G13" s="18"/>
    </row>
    <row r="14" customFormat="false" ht="21.75" hidden="false" customHeight="true" outlineLevel="0" collapsed="false">
      <c r="A14" s="18" t="s">
        <v>205</v>
      </c>
      <c r="B14" s="18" t="s">
        <v>206</v>
      </c>
      <c r="C14" s="18" t="str">
        <f aca="false">IFERROR(AVERAGEIF('Template 2 - Current Profile'!$B$5:$B$110,A14,'Template 2 - Current Profile'!$F$5:$F$110),"")</f>
        <v/>
      </c>
      <c r="D14" s="18" t="str">
        <f aca="false">IFERROR(IF(ISBLANK(INDEX('Template 3 - Target Profile'!$C$27:$C$48,MATCH(A14,'Template 3 - Target Profile'!$A$27:$A$48,0))),"",INDEX('Template 3 - Target Profile'!$C$27:$C$48,MATCH(A14,'Template 3 - Target Profile'!$A$27:$A$48,0))),"")</f>
        <v/>
      </c>
      <c r="E14" s="19" t="str">
        <f aca="false">IFERROR(D14-C14,"")</f>
        <v/>
      </c>
      <c r="F14" s="18"/>
      <c r="G14" s="18"/>
    </row>
    <row r="15" customFormat="false" ht="21.75" hidden="false" customHeight="true" outlineLevel="0" collapsed="false">
      <c r="A15" s="18" t="s">
        <v>216</v>
      </c>
      <c r="B15" s="18" t="s">
        <v>217</v>
      </c>
      <c r="C15" s="18" t="str">
        <f aca="false">IFERROR(AVERAGEIF('Template 2 - Current Profile'!$B$5:$B$110,A15,'Template 2 - Current Profile'!$F$5:$F$110),"")</f>
        <v/>
      </c>
      <c r="D15" s="18" t="str">
        <f aca="false">IFERROR(IF(ISBLANK(INDEX('Template 3 - Target Profile'!$C$27:$C$48,MATCH(A15,'Template 3 - Target Profile'!$A$27:$A$48,0))),"",INDEX('Template 3 - Target Profile'!$C$27:$C$48,MATCH(A15,'Template 3 - Target Profile'!$A$27:$A$48,0))),"")</f>
        <v/>
      </c>
      <c r="E15" s="19" t="str">
        <f aca="false">IFERROR(D15-C15,"")</f>
        <v/>
      </c>
      <c r="F15" s="18"/>
      <c r="G15" s="18"/>
    </row>
    <row r="16" customFormat="false" ht="21.75" hidden="false" customHeight="true" outlineLevel="0" collapsed="false">
      <c r="A16" s="18" t="s">
        <v>230</v>
      </c>
      <c r="B16" s="18" t="s">
        <v>231</v>
      </c>
      <c r="C16" s="18" t="str">
        <f aca="false">IFERROR(AVERAGEIF('Template 2 - Current Profile'!$B$5:$B$110,A16,'Template 2 - Current Profile'!$F$5:$F$110),"")</f>
        <v/>
      </c>
      <c r="D16" s="18" t="str">
        <f aca="false">IFERROR(IF(ISBLANK(INDEX('Template 3 - Target Profile'!$C$27:$C$48,MATCH(A16,'Template 3 - Target Profile'!$A$27:$A$48,0))),"",INDEX('Template 3 - Target Profile'!$C$27:$C$48,MATCH(A16,'Template 3 - Target Profile'!$A$27:$A$48,0))),"")</f>
        <v/>
      </c>
      <c r="E16" s="19" t="str">
        <f aca="false">IFERROR(D16-C16,"")</f>
        <v/>
      </c>
      <c r="F16" s="18"/>
      <c r="G16" s="18"/>
    </row>
    <row r="17" customFormat="false" ht="21.75" hidden="false" customHeight="true" outlineLevel="0" collapsed="false">
      <c r="A17" s="18" t="s">
        <v>236</v>
      </c>
      <c r="B17" s="18" t="s">
        <v>237</v>
      </c>
      <c r="C17" s="18" t="str">
        <f aca="false">IFERROR(AVERAGEIF('Template 2 - Current Profile'!$B$5:$B$110,A17,'Template 2 - Current Profile'!$F$5:$F$110),"")</f>
        <v/>
      </c>
      <c r="D17" s="18" t="str">
        <f aca="false">IFERROR(IF(ISBLANK(INDEX('Template 3 - Target Profile'!$C$27:$C$48,MATCH(A17,'Template 3 - Target Profile'!$A$27:$A$48,0))),"",INDEX('Template 3 - Target Profile'!$C$27:$C$48,MATCH(A17,'Template 3 - Target Profile'!$A$27:$A$48,0))),"")</f>
        <v/>
      </c>
      <c r="E17" s="19" t="str">
        <f aca="false">IFERROR(D17-C17,"")</f>
        <v/>
      </c>
      <c r="F17" s="18"/>
      <c r="G17" s="18"/>
    </row>
    <row r="18" customFormat="false" ht="21.75" hidden="false" customHeight="true" outlineLevel="0" collapsed="false">
      <c r="A18" s="18" t="s">
        <v>246</v>
      </c>
      <c r="B18" s="18" t="s">
        <v>247</v>
      </c>
      <c r="C18" s="18" t="str">
        <f aca="false">IFERROR(AVERAGEIF('Template 2 - Current Profile'!$B$5:$B$110,A18,'Template 2 - Current Profile'!$F$5:$F$110),"")</f>
        <v/>
      </c>
      <c r="D18" s="18" t="str">
        <f aca="false">IFERROR(IF(ISBLANK(INDEX('Template 3 - Target Profile'!$C$27:$C$48,MATCH(A18,'Template 3 - Target Profile'!$A$27:$A$48,0))),"",INDEX('Template 3 - Target Profile'!$C$27:$C$48,MATCH(A18,'Template 3 - Target Profile'!$A$27:$A$48,0))),"")</f>
        <v/>
      </c>
      <c r="E18" s="19" t="str">
        <f aca="false">IFERROR(D18-C18,"")</f>
        <v/>
      </c>
      <c r="F18" s="18"/>
      <c r="G18" s="18"/>
    </row>
    <row r="19" customFormat="false" ht="21.75" hidden="false" customHeight="true" outlineLevel="0" collapsed="false">
      <c r="A19" s="18" t="s">
        <v>260</v>
      </c>
      <c r="B19" s="18" t="s">
        <v>261</v>
      </c>
      <c r="C19" s="18" t="str">
        <f aca="false">IFERROR(AVERAGEIF('Template 2 - Current Profile'!$B$5:$B$110,A19,'Template 2 - Current Profile'!$F$5:$F$110),"")</f>
        <v/>
      </c>
      <c r="D19" s="18" t="str">
        <f aca="false">IFERROR(IF(ISBLANK(INDEX('Template 3 - Target Profile'!$C$27:$C$48,MATCH(A19,'Template 3 - Target Profile'!$A$27:$A$48,0))),"",INDEX('Template 3 - Target Profile'!$C$27:$C$48,MATCH(A19,'Template 3 - Target Profile'!$A$27:$A$48,0))),"")</f>
        <v/>
      </c>
      <c r="E19" s="19" t="str">
        <f aca="false">IFERROR(D19-C19,"")</f>
        <v/>
      </c>
      <c r="F19" s="18"/>
      <c r="G19" s="18"/>
    </row>
    <row r="20" customFormat="false" ht="21.75" hidden="false" customHeight="true" outlineLevel="0" collapsed="false">
      <c r="A20" s="18" t="s">
        <v>271</v>
      </c>
      <c r="B20" s="18" t="s">
        <v>272</v>
      </c>
      <c r="C20" s="18" t="str">
        <f aca="false">IFERROR(AVERAGEIF('Template 2 - Current Profile'!$B$5:$B$110,A20,'Template 2 - Current Profile'!$F$5:$F$110),"")</f>
        <v/>
      </c>
      <c r="D20" s="18" t="str">
        <f aca="false">IFERROR(IF(ISBLANK(INDEX('Template 3 - Target Profile'!$C$27:$C$48,MATCH(A20,'Template 3 - Target Profile'!$A$27:$A$48,0))),"",INDEX('Template 3 - Target Profile'!$C$27:$C$48,MATCH(A20,'Template 3 - Target Profile'!$A$27:$A$48,0))),"")</f>
        <v/>
      </c>
      <c r="E20" s="19" t="str">
        <f aca="false">IFERROR(D20-C20,"")</f>
        <v/>
      </c>
      <c r="F20" s="18"/>
      <c r="G20" s="18"/>
    </row>
    <row r="21" customFormat="false" ht="21.75" hidden="false" customHeight="true" outlineLevel="0" collapsed="false">
      <c r="A21" s="18" t="s">
        <v>283</v>
      </c>
      <c r="B21" s="18" t="s">
        <v>284</v>
      </c>
      <c r="C21" s="18" t="str">
        <f aca="false">IFERROR(AVERAGEIF('Template 2 - Current Profile'!$B$5:$B$110,A21,'Template 2 - Current Profile'!$F$5:$F$110),"")</f>
        <v/>
      </c>
      <c r="D21" s="18" t="str">
        <f aca="false">IFERROR(IF(ISBLANK(INDEX('Template 3 - Target Profile'!$C$27:$C$48,MATCH(A21,'Template 3 - Target Profile'!$A$27:$A$48,0))),"",INDEX('Template 3 - Target Profile'!$C$27:$C$48,MATCH(A21,'Template 3 - Target Profile'!$A$27:$A$48,0))),"")</f>
        <v/>
      </c>
      <c r="E21" s="19" t="str">
        <f aca="false">IFERROR(D21-C21,"")</f>
        <v/>
      </c>
      <c r="F21" s="18"/>
      <c r="G21" s="18"/>
    </row>
    <row r="22" customFormat="false" ht="21.75" hidden="false" customHeight="true" outlineLevel="0" collapsed="false">
      <c r="A22" s="18" t="s">
        <v>298</v>
      </c>
      <c r="B22" s="18" t="s">
        <v>299</v>
      </c>
      <c r="C22" s="18" t="str">
        <f aca="false">IFERROR(AVERAGEIF('Template 2 - Current Profile'!$B$5:$B$110,A22,'Template 2 - Current Profile'!$F$5:$F$110),"")</f>
        <v/>
      </c>
      <c r="D22" s="18" t="str">
        <f aca="false">IFERROR(IF(ISBLANK(INDEX('Template 3 - Target Profile'!$C$27:$C$48,MATCH(A22,'Template 3 - Target Profile'!$A$27:$A$48,0))),"",INDEX('Template 3 - Target Profile'!$C$27:$C$48,MATCH(A22,'Template 3 - Target Profile'!$A$27:$A$48,0))),"")</f>
        <v/>
      </c>
      <c r="E22" s="19" t="str">
        <f aca="false">IFERROR(D22-C22,"")</f>
        <v/>
      </c>
      <c r="F22" s="18"/>
      <c r="G22" s="18"/>
    </row>
    <row r="23" customFormat="false" ht="21.75" hidden="false" customHeight="true" outlineLevel="0" collapsed="false">
      <c r="A23" s="18" t="s">
        <v>310</v>
      </c>
      <c r="B23" s="18" t="s">
        <v>311</v>
      </c>
      <c r="C23" s="18" t="str">
        <f aca="false">IFERROR(AVERAGEIF('Template 2 - Current Profile'!$B$5:$B$110,A23,'Template 2 - Current Profile'!$F$5:$F$110),"")</f>
        <v/>
      </c>
      <c r="D23" s="18" t="str">
        <f aca="false">IFERROR(IF(ISBLANK(INDEX('Template 3 - Target Profile'!$C$27:$C$48,MATCH(A23,'Template 3 - Target Profile'!$A$27:$A$48,0))),"",INDEX('Template 3 - Target Profile'!$C$27:$C$48,MATCH(A23,'Template 3 - Target Profile'!$A$27:$A$48,0))),"")</f>
        <v/>
      </c>
      <c r="E23" s="19" t="str">
        <f aca="false">IFERROR(D23-C23,"")</f>
        <v/>
      </c>
      <c r="F23" s="18"/>
      <c r="G23" s="18"/>
    </row>
    <row r="24" customFormat="false" ht="21.75" hidden="false" customHeight="true" outlineLevel="0" collapsed="false">
      <c r="A24" s="18" t="s">
        <v>320</v>
      </c>
      <c r="B24" s="18" t="s">
        <v>321</v>
      </c>
      <c r="C24" s="18" t="str">
        <f aca="false">IFERROR(AVERAGEIF('Template 2 - Current Profile'!$B$5:$B$110,A24,'Template 2 - Current Profile'!$F$5:$F$110),"")</f>
        <v/>
      </c>
      <c r="D24" s="18" t="str">
        <f aca="false">IFERROR(IF(ISBLANK(INDEX('Template 3 - Target Profile'!$C$27:$C$48,MATCH(A24,'Template 3 - Target Profile'!$A$27:$A$48,0))),"",INDEX('Template 3 - Target Profile'!$C$27:$C$48,MATCH(A24,'Template 3 - Target Profile'!$A$27:$A$48,0))),"")</f>
        <v/>
      </c>
      <c r="E24" s="19" t="str">
        <f aca="false">IFERROR(D24-C24,"")</f>
        <v/>
      </c>
      <c r="F24" s="18"/>
      <c r="G24" s="18"/>
    </row>
    <row r="25" customFormat="false" ht="21.75" hidden="false" customHeight="true" outlineLevel="0" collapsed="false">
      <c r="A25" s="18" t="s">
        <v>326</v>
      </c>
      <c r="B25" s="18" t="s">
        <v>327</v>
      </c>
      <c r="C25" s="18" t="str">
        <f aca="false">IFERROR(AVERAGEIF('Template 2 - Current Profile'!$B$5:$B$110,A25,'Template 2 - Current Profile'!$F$5:$F$110),"")</f>
        <v/>
      </c>
      <c r="D25" s="18" t="str">
        <f aca="false">IFERROR(IF(ISBLANK(INDEX('Template 3 - Target Profile'!$C$27:$C$48,MATCH(A25,'Template 3 - Target Profile'!$A$27:$A$48,0))),"",INDEX('Template 3 - Target Profile'!$C$27:$C$48,MATCH(A25,'Template 3 - Target Profile'!$A$27:$A$48,0))),"")</f>
        <v/>
      </c>
      <c r="E25" s="19" t="str">
        <f aca="false">IFERROR(D25-C25,"")</f>
        <v/>
      </c>
      <c r="F25" s="18"/>
      <c r="G25" s="18"/>
    </row>
    <row r="26" customFormat="false" ht="21.75" hidden="false" customHeight="true" outlineLevel="0" collapsed="false">
      <c r="A26" s="18" t="s">
        <v>333</v>
      </c>
      <c r="B26" s="18" t="s">
        <v>334</v>
      </c>
      <c r="C26" s="18" t="str">
        <f aca="false">IFERROR(AVERAGEIF('Template 2 - Current Profile'!$B$5:$B$110,A26,'Template 2 - Current Profile'!$F$5:$F$110),"")</f>
        <v/>
      </c>
      <c r="D26" s="18" t="str">
        <f aca="false">IFERROR(IF(ISBLANK(INDEX('Template 3 - Target Profile'!$C$27:$C$48,MATCH(A26,'Template 3 - Target Profile'!$A$27:$A$48,0))),"",INDEX('Template 3 - Target Profile'!$C$27:$C$48,MATCH(A26,'Template 3 - Target Profile'!$A$27:$A$48,0))),"")</f>
        <v/>
      </c>
      <c r="E26" s="19" t="str">
        <f aca="false">IFERROR(D26-C26,"")</f>
        <v/>
      </c>
      <c r="F26" s="18"/>
      <c r="G26" s="18"/>
    </row>
    <row r="27" customFormat="false" ht="21.75" hidden="false" customHeight="true" outlineLevel="0" collapsed="false">
      <c r="A27" s="18" t="s">
        <v>347</v>
      </c>
      <c r="B27" s="18" t="s">
        <v>348</v>
      </c>
      <c r="C27" s="18" t="str">
        <f aca="false">IFERROR(AVERAGEIF('Template 2 - Current Profile'!$B$5:$B$110,A27,'Template 2 - Current Profile'!$F$5:$F$110),"")</f>
        <v/>
      </c>
      <c r="D27" s="18" t="str">
        <f aca="false">IFERROR(IF(ISBLANK(INDEX('Template 3 - Target Profile'!$C$27:$C$48,MATCH(A27,'Template 3 - Target Profile'!$A$27:$A$48,0))),"",INDEX('Template 3 - Target Profile'!$C$27:$C$48,MATCH(A27,'Template 3 - Target Profile'!$A$27:$A$48,0))),"")</f>
        <v/>
      </c>
      <c r="E27" s="19" t="str">
        <f aca="false">IFERROR(D27-C27,"")</f>
        <v/>
      </c>
      <c r="F27" s="18"/>
      <c r="G27" s="18"/>
    </row>
    <row r="29" customFormat="false" ht="21.75" hidden="false" customHeight="true" outlineLevel="0" collapsed="false">
      <c r="A29" s="17" t="s">
        <v>394</v>
      </c>
      <c r="B29" s="17"/>
      <c r="C29" s="17"/>
      <c r="D29" s="17"/>
      <c r="E29" s="17"/>
      <c r="F29" s="17"/>
      <c r="G29" s="17"/>
    </row>
    <row r="30" customFormat="false" ht="31.5" hidden="false" customHeight="true" outlineLevel="0" collapsed="false">
      <c r="A30" s="9" t="s">
        <v>81</v>
      </c>
      <c r="B30" s="9"/>
      <c r="C30" s="9" t="s">
        <v>389</v>
      </c>
      <c r="D30" s="9" t="s">
        <v>395</v>
      </c>
      <c r="E30" s="9" t="s">
        <v>396</v>
      </c>
      <c r="F30" s="9" t="s">
        <v>392</v>
      </c>
      <c r="G30" s="9" t="s">
        <v>393</v>
      </c>
    </row>
    <row r="31" customFormat="false" ht="21.75" hidden="false" customHeight="true" outlineLevel="0" collapsed="false">
      <c r="A31" s="18" t="s">
        <v>89</v>
      </c>
      <c r="B31" s="18"/>
      <c r="C31" s="18" t="n">
        <f aca="false">IFERROR(AVERAGEIF('Template 2 - Current Profile'!$A$5:$A$110,A31,'Template 2 - Current Profile'!$F$5:$F$110),"")</f>
        <v>2</v>
      </c>
      <c r="D31" s="18" t="str">
        <f aca="false">IFERROR(IF(ISBLANK(INDEX('Template 3 - Target Profile'!$B$18:$B$23,MATCH(A31,'Template 3 - Target Profile'!$A$18:$A$23,0))),"",INDEX('Template 3 - Target Profile'!$B$18:$B$23,MATCH(A31,'Template 3 - Target Profile'!$A$18:$A$23,0))),"")</f>
        <v>Tier 3 - Repeatable</v>
      </c>
      <c r="E31" s="18"/>
      <c r="F31" s="18"/>
      <c r="G31" s="18"/>
    </row>
    <row r="32" customFormat="false" ht="21.75" hidden="false" customHeight="true" outlineLevel="0" collapsed="false">
      <c r="A32" s="18" t="s">
        <v>166</v>
      </c>
      <c r="B32" s="18"/>
      <c r="C32" s="18" t="str">
        <f aca="false">IFERROR(AVERAGEIF('Template 2 - Current Profile'!$A$5:$A$110,A32,'Template 2 - Current Profile'!$F$5:$F$110),"")</f>
        <v/>
      </c>
      <c r="D32" s="18" t="str">
        <f aca="false">IFERROR(IF(ISBLANK(INDEX('Template 3 - Target Profile'!$B$18:$B$23,MATCH(A32,'Template 3 - Target Profile'!$A$18:$A$23,0))),"",INDEX('Template 3 - Target Profile'!$B$18:$B$23,MATCH(A32,'Template 3 - Target Profile'!$A$18:$A$23,0))),"")</f>
        <v/>
      </c>
      <c r="E32" s="18"/>
      <c r="F32" s="18"/>
      <c r="G32" s="18"/>
    </row>
    <row r="33" customFormat="false" ht="21.75" hidden="false" customHeight="true" outlineLevel="0" collapsed="false">
      <c r="A33" s="18" t="s">
        <v>215</v>
      </c>
      <c r="B33" s="18"/>
      <c r="C33" s="18" t="str">
        <f aca="false">IFERROR(AVERAGEIF('Template 2 - Current Profile'!$A$5:$A$110,A33,'Template 2 - Current Profile'!$F$5:$F$110),"")</f>
        <v/>
      </c>
      <c r="D33" s="18" t="str">
        <f aca="false">IFERROR(IF(ISBLANK(INDEX('Template 3 - Target Profile'!$B$18:$B$23,MATCH(A33,'Template 3 - Target Profile'!$A$18:$A$23,0))),"",INDEX('Template 3 - Target Profile'!$B$18:$B$23,MATCH(A33,'Template 3 - Target Profile'!$A$18:$A$23,0))),"")</f>
        <v/>
      </c>
      <c r="E33" s="18"/>
      <c r="F33" s="18"/>
      <c r="G33" s="18"/>
    </row>
    <row r="34" customFormat="false" ht="21.75" hidden="false" customHeight="true" outlineLevel="0" collapsed="false">
      <c r="A34" s="18" t="s">
        <v>270</v>
      </c>
      <c r="B34" s="18"/>
      <c r="C34" s="18" t="str">
        <f aca="false">IFERROR(AVERAGEIF('Template 2 - Current Profile'!$A$5:$A$110,A34,'Template 2 - Current Profile'!$F$5:$F$110),"")</f>
        <v/>
      </c>
      <c r="D34" s="18" t="str">
        <f aca="false">IFERROR(IF(ISBLANK(INDEX('Template 3 - Target Profile'!$B$18:$B$23,MATCH(A34,'Template 3 - Target Profile'!$A$18:$A$23,0))),"",INDEX('Template 3 - Target Profile'!$B$18:$B$23,MATCH(A34,'Template 3 - Target Profile'!$A$18:$A$23,0))),"")</f>
        <v/>
      </c>
      <c r="E34" s="18"/>
      <c r="F34" s="18"/>
      <c r="G34" s="18"/>
    </row>
    <row r="35" customFormat="false" ht="21.75" hidden="false" customHeight="true" outlineLevel="0" collapsed="false">
      <c r="A35" s="18" t="s">
        <v>297</v>
      </c>
      <c r="B35" s="18"/>
      <c r="C35" s="18" t="str">
        <f aca="false">IFERROR(AVERAGEIF('Template 2 - Current Profile'!$A$5:$A$110,A35,'Template 2 - Current Profile'!$F$5:$F$110),"")</f>
        <v/>
      </c>
      <c r="D35" s="18" t="str">
        <f aca="false">IFERROR(IF(ISBLANK(INDEX('Template 3 - Target Profile'!$B$18:$B$23,MATCH(A35,'Template 3 - Target Profile'!$A$18:$A$23,0))),"",INDEX('Template 3 - Target Profile'!$B$18:$B$23,MATCH(A35,'Template 3 - Target Profile'!$A$18:$A$23,0))),"")</f>
        <v/>
      </c>
      <c r="E35" s="18"/>
      <c r="F35" s="18"/>
      <c r="G35" s="18"/>
    </row>
    <row r="36" customFormat="false" ht="21.75" hidden="false" customHeight="true" outlineLevel="0" collapsed="false">
      <c r="A36" s="18" t="s">
        <v>332</v>
      </c>
      <c r="B36" s="18"/>
      <c r="C36" s="18" t="str">
        <f aca="false">IFERROR(AVERAGEIF('Template 2 - Current Profile'!$A$5:$A$110,A36,'Template 2 - Current Profile'!$F$5:$F$110),"")</f>
        <v/>
      </c>
      <c r="D36" s="18" t="str">
        <f aca="false">IFERROR(IF(ISBLANK(INDEX('Template 3 - Target Profile'!$B$18:$B$23,MATCH(A36,'Template 3 - Target Profile'!$A$18:$A$23,0))),"",INDEX('Template 3 - Target Profile'!$B$18:$B$23,MATCH(A36,'Template 3 - Target Profile'!$A$18:$A$23,0))),"")</f>
        <v/>
      </c>
      <c r="E36" s="18"/>
      <c r="F36" s="18"/>
      <c r="G36" s="18"/>
    </row>
  </sheetData>
  <mergeCells count="4">
    <mergeCell ref="A1:G1"/>
    <mergeCell ref="A2:G2"/>
    <mergeCell ref="A4:G4"/>
    <mergeCell ref="A29:G29"/>
  </mergeCells>
  <conditionalFormatting sqref="E6:E27">
    <cfRule type="colorScale" priority="2">
      <colorScale>
        <cfvo type="num" val="0"/>
        <cfvo type="num" val="2"/>
        <cfvo type="num" val="4"/>
        <color rgb="FFE2EFDA"/>
        <color rgb="FFFFF2CC"/>
        <color rgb="FFFCE4E4"/>
      </colorScale>
    </cfRule>
  </conditionalFormatting>
  <dataValidations count="2">
    <dataValidation allowBlank="true" errorStyle="stop" operator="between" showDropDown="false" showErrorMessage="false" showInputMessage="false" sqref="F6:F27" type="list">
      <formula1>"High,Medium,Low"</formula1>
      <formula2>0</formula2>
    </dataValidation>
    <dataValidation allowBlank="true" errorStyle="stop" operator="between" showDropDown="false" showErrorMessage="false" showInputMessage="false" sqref="F31:F3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48"/>
    <col collapsed="false" customWidth="true" hidden="false" outlineLevel="0" max="6" min="6" style="1" width="18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2" t="s">
        <v>397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398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9" t="s">
        <v>399</v>
      </c>
      <c r="B4" s="9" t="s">
        <v>400</v>
      </c>
      <c r="C4" s="9" t="s">
        <v>401</v>
      </c>
      <c r="D4" s="9" t="s">
        <v>402</v>
      </c>
      <c r="E4" s="9" t="s">
        <v>403</v>
      </c>
      <c r="F4" s="9" t="s">
        <v>404</v>
      </c>
      <c r="G4" s="9" t="s">
        <v>88</v>
      </c>
    </row>
    <row r="5" customFormat="false" ht="35.05" hidden="false" customHeight="false" outlineLevel="0" collapsed="false">
      <c r="A5" s="14" t="s">
        <v>405</v>
      </c>
      <c r="B5" s="14" t="s">
        <v>406</v>
      </c>
      <c r="C5" s="14" t="s">
        <v>407</v>
      </c>
      <c r="D5" s="14" t="s">
        <v>108</v>
      </c>
      <c r="E5" s="14" t="s">
        <v>408</v>
      </c>
      <c r="F5" s="14" t="s">
        <v>409</v>
      </c>
      <c r="G5" s="14" t="s">
        <v>95</v>
      </c>
    </row>
    <row r="6" customFormat="false" ht="19.5" hidden="false" customHeight="true" outlineLevel="0" collapsed="false">
      <c r="A6" s="15"/>
      <c r="B6" s="15"/>
      <c r="C6" s="15"/>
      <c r="D6" s="15"/>
      <c r="E6" s="15"/>
      <c r="F6" s="15"/>
      <c r="G6" s="15"/>
    </row>
    <row r="7" customFormat="false" ht="19.5" hidden="false" customHeight="true" outlineLevel="0" collapsed="false">
      <c r="A7" s="15"/>
      <c r="B7" s="15"/>
      <c r="C7" s="15"/>
      <c r="D7" s="15"/>
      <c r="E7" s="15"/>
      <c r="F7" s="15"/>
      <c r="G7" s="15"/>
    </row>
    <row r="8" customFormat="false" ht="19.5" hidden="false" customHeight="true" outlineLevel="0" collapsed="false">
      <c r="A8" s="15"/>
      <c r="B8" s="15"/>
      <c r="C8" s="15"/>
      <c r="D8" s="15"/>
      <c r="E8" s="15"/>
      <c r="F8" s="15"/>
      <c r="G8" s="15"/>
    </row>
    <row r="9" customFormat="false" ht="19.5" hidden="false" customHeight="true" outlineLevel="0" collapsed="false">
      <c r="A9" s="15"/>
      <c r="B9" s="15"/>
      <c r="C9" s="15"/>
      <c r="D9" s="15"/>
      <c r="E9" s="15"/>
      <c r="F9" s="15"/>
      <c r="G9" s="15"/>
    </row>
    <row r="10" customFormat="false" ht="19.5" hidden="false" customHeight="true" outlineLevel="0" collapsed="false">
      <c r="A10" s="15"/>
      <c r="B10" s="15"/>
      <c r="C10" s="15"/>
      <c r="D10" s="15"/>
      <c r="E10" s="15"/>
      <c r="F10" s="15"/>
      <c r="G10" s="15"/>
    </row>
    <row r="11" customFormat="false" ht="19.5" hidden="false" customHeight="true" outlineLevel="0" collapsed="false">
      <c r="A11" s="15"/>
      <c r="B11" s="15"/>
      <c r="C11" s="15"/>
      <c r="D11" s="15"/>
      <c r="E11" s="15"/>
      <c r="F11" s="15"/>
      <c r="G11" s="15"/>
    </row>
    <row r="12" customFormat="false" ht="19.5" hidden="false" customHeight="true" outlineLevel="0" collapsed="false">
      <c r="A12" s="15"/>
      <c r="B12" s="15"/>
      <c r="C12" s="15"/>
      <c r="D12" s="15"/>
      <c r="E12" s="15"/>
      <c r="F12" s="15"/>
      <c r="G12" s="15"/>
    </row>
    <row r="13" customFormat="false" ht="19.5" hidden="false" customHeight="true" outlineLevel="0" collapsed="false">
      <c r="A13" s="15"/>
      <c r="B13" s="15"/>
      <c r="C13" s="15"/>
      <c r="D13" s="15"/>
      <c r="E13" s="15"/>
      <c r="F13" s="15"/>
      <c r="G13" s="15"/>
    </row>
    <row r="14" customFormat="false" ht="19.5" hidden="false" customHeight="true" outlineLevel="0" collapsed="false">
      <c r="A14" s="15"/>
      <c r="B14" s="15"/>
      <c r="C14" s="15"/>
      <c r="D14" s="15"/>
      <c r="E14" s="15"/>
      <c r="F14" s="15"/>
      <c r="G14" s="15"/>
    </row>
    <row r="15" customFormat="false" ht="19.5" hidden="false" customHeight="true" outlineLevel="0" collapsed="false">
      <c r="A15" s="15"/>
      <c r="B15" s="15"/>
      <c r="C15" s="15"/>
      <c r="D15" s="15"/>
      <c r="E15" s="15"/>
      <c r="F15" s="15"/>
      <c r="G15" s="15"/>
    </row>
    <row r="16" customFormat="false" ht="19.5" hidden="false" customHeight="true" outlineLevel="0" collapsed="false">
      <c r="A16" s="15"/>
      <c r="B16" s="15"/>
      <c r="C16" s="15"/>
      <c r="D16" s="15"/>
      <c r="E16" s="15"/>
      <c r="F16" s="15"/>
      <c r="G16" s="15"/>
    </row>
    <row r="17" customFormat="false" ht="19.5" hidden="false" customHeight="true" outlineLevel="0" collapsed="false">
      <c r="A17" s="15"/>
      <c r="B17" s="15"/>
      <c r="C17" s="15"/>
      <c r="D17" s="15"/>
      <c r="E17" s="15"/>
      <c r="F17" s="15"/>
      <c r="G17" s="15"/>
    </row>
    <row r="18" customFormat="false" ht="19.5" hidden="false" customHeight="true" outlineLevel="0" collapsed="false">
      <c r="A18" s="15"/>
      <c r="B18" s="15"/>
      <c r="C18" s="15"/>
      <c r="D18" s="15"/>
      <c r="E18" s="15"/>
      <c r="F18" s="15"/>
      <c r="G18" s="15"/>
    </row>
    <row r="19" customFormat="false" ht="19.5" hidden="false" customHeight="true" outlineLevel="0" collapsed="false">
      <c r="A19" s="15"/>
      <c r="B19" s="15"/>
      <c r="C19" s="15"/>
      <c r="D19" s="15"/>
      <c r="E19" s="15"/>
      <c r="F19" s="15"/>
      <c r="G19" s="15"/>
    </row>
    <row r="20" customFormat="false" ht="19.5" hidden="false" customHeight="true" outlineLevel="0" collapsed="false">
      <c r="A20" s="15"/>
      <c r="B20" s="15"/>
      <c r="C20" s="15"/>
      <c r="D20" s="15"/>
      <c r="E20" s="15"/>
      <c r="F20" s="15"/>
      <c r="G20" s="15"/>
    </row>
    <row r="21" customFormat="false" ht="19.5" hidden="false" customHeight="true" outlineLevel="0" collapsed="false">
      <c r="A21" s="15"/>
      <c r="B21" s="15"/>
      <c r="C21" s="15"/>
      <c r="D21" s="15"/>
      <c r="E21" s="15"/>
      <c r="F21" s="15"/>
      <c r="G21" s="15"/>
    </row>
    <row r="22" customFormat="false" ht="19.5" hidden="false" customHeight="true" outlineLevel="0" collapsed="false">
      <c r="A22" s="15"/>
      <c r="B22" s="15"/>
      <c r="C22" s="15"/>
      <c r="D22" s="15"/>
      <c r="E22" s="15"/>
      <c r="F22" s="15"/>
      <c r="G22" s="15"/>
    </row>
    <row r="23" customFormat="false" ht="19.5" hidden="false" customHeight="true" outlineLevel="0" collapsed="false">
      <c r="A23" s="15"/>
      <c r="B23" s="15"/>
      <c r="C23" s="15"/>
      <c r="D23" s="15"/>
      <c r="E23" s="15"/>
      <c r="F23" s="15"/>
      <c r="G23" s="15"/>
    </row>
    <row r="24" customFormat="false" ht="19.5" hidden="false" customHeight="true" outlineLevel="0" collapsed="false">
      <c r="A24" s="15"/>
      <c r="B24" s="15"/>
      <c r="C24" s="15"/>
      <c r="D24" s="15"/>
      <c r="E24" s="15"/>
      <c r="F24" s="15"/>
      <c r="G24" s="15"/>
    </row>
    <row r="25" customFormat="false" ht="19.5" hidden="false" customHeight="true" outlineLevel="0" collapsed="false">
      <c r="A25" s="15"/>
      <c r="B25" s="15"/>
      <c r="C25" s="15"/>
      <c r="D25" s="15"/>
      <c r="E25" s="15"/>
      <c r="F25" s="15"/>
      <c r="G25" s="15"/>
    </row>
    <row r="26" customFormat="false" ht="19.5" hidden="false" customHeight="true" outlineLevel="0" collapsed="false">
      <c r="A26" s="15"/>
      <c r="B26" s="15"/>
      <c r="C26" s="15"/>
      <c r="D26" s="15"/>
      <c r="E26" s="15"/>
      <c r="F26" s="15"/>
      <c r="G26" s="15"/>
    </row>
    <row r="27" customFormat="false" ht="19.5" hidden="false" customHeight="true" outlineLevel="0" collapsed="false">
      <c r="A27" s="15"/>
      <c r="B27" s="15"/>
      <c r="C27" s="15"/>
      <c r="D27" s="15"/>
      <c r="E27" s="15"/>
      <c r="F27" s="15"/>
      <c r="G27" s="15"/>
    </row>
    <row r="28" customFormat="false" ht="19.5" hidden="false" customHeight="true" outlineLevel="0" collapsed="false">
      <c r="A28" s="15"/>
      <c r="B28" s="15"/>
      <c r="C28" s="15"/>
      <c r="D28" s="15"/>
      <c r="E28" s="15"/>
      <c r="F28" s="15"/>
      <c r="G28" s="15"/>
    </row>
    <row r="29" customFormat="false" ht="19.5" hidden="false" customHeight="true" outlineLevel="0" collapsed="false">
      <c r="A29" s="15"/>
      <c r="B29" s="15"/>
      <c r="C29" s="15"/>
      <c r="D29" s="15"/>
      <c r="E29" s="15"/>
      <c r="F29" s="15"/>
      <c r="G29" s="15"/>
    </row>
    <row r="30" customFormat="false" ht="19.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19.5" hidden="false" customHeight="true" outlineLevel="0" collapsed="false">
      <c r="A31" s="15"/>
      <c r="B31" s="15"/>
      <c r="C31" s="15"/>
      <c r="D31" s="15"/>
      <c r="E31" s="15"/>
      <c r="F31" s="15"/>
      <c r="G31" s="15"/>
    </row>
    <row r="32" customFormat="false" ht="19.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19.5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19.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19.5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19.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19.5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19.5" hidden="false" customHeight="true" outlineLevel="0" collapsed="false">
      <c r="A38" s="15"/>
      <c r="B38" s="15"/>
      <c r="C38" s="15"/>
      <c r="D38" s="15"/>
      <c r="E38" s="15"/>
      <c r="F38" s="15"/>
      <c r="G38" s="15"/>
    </row>
    <row r="39" customFormat="false" ht="19.5" hidden="false" customHeight="true" outlineLevel="0" collapsed="false">
      <c r="A39" s="15"/>
      <c r="B39" s="15"/>
      <c r="C39" s="15"/>
      <c r="D39" s="15"/>
      <c r="E39" s="15"/>
      <c r="F39" s="15"/>
      <c r="G39" s="15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39" type="list">
      <formula1>"Supports Current Score,Contradicts Current Score,Needs Follow-up"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42"/>
    <col collapsed="false" customWidth="true" hidden="false" outlineLevel="0" max="6" min="6" style="1" width="12"/>
    <col collapsed="false" customWidth="true" hidden="false" outlineLevel="0" max="7" min="7" style="1" width="42"/>
    <col collapsed="false" customWidth="true" hidden="false" outlineLevel="0" max="8" min="8" style="1" width="16"/>
    <col collapsed="false" customWidth="true" hidden="false" outlineLevel="0" max="10" min="9" style="1" width="14"/>
  </cols>
  <sheetData>
    <row r="1" customFormat="false" ht="27.75" hidden="false" customHeight="true" outlineLevel="0" collapsed="false">
      <c r="A1" s="2" t="s">
        <v>410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411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A4" s="9" t="s">
        <v>412</v>
      </c>
      <c r="B4" s="9" t="s">
        <v>413</v>
      </c>
      <c r="C4" s="9" t="s">
        <v>414</v>
      </c>
      <c r="D4" s="9" t="s">
        <v>415</v>
      </c>
      <c r="E4" s="9" t="s">
        <v>416</v>
      </c>
      <c r="F4" s="9" t="s">
        <v>392</v>
      </c>
      <c r="G4" s="9" t="s">
        <v>417</v>
      </c>
      <c r="H4" s="9" t="s">
        <v>418</v>
      </c>
      <c r="I4" s="9" t="s">
        <v>419</v>
      </c>
      <c r="J4" s="9" t="s">
        <v>420</v>
      </c>
    </row>
    <row r="5" customFormat="false" ht="35.05" hidden="false" customHeight="false" outlineLevel="0" collapsed="false">
      <c r="A5" s="14" t="s">
        <v>421</v>
      </c>
      <c r="B5" s="14" t="s">
        <v>422</v>
      </c>
      <c r="C5" s="14" t="s">
        <v>199</v>
      </c>
      <c r="D5" s="14" t="s">
        <v>423</v>
      </c>
      <c r="E5" s="14" t="s">
        <v>424</v>
      </c>
      <c r="F5" s="14" t="s">
        <v>425</v>
      </c>
      <c r="G5" s="14" t="s">
        <v>426</v>
      </c>
      <c r="H5" s="14" t="s">
        <v>427</v>
      </c>
      <c r="I5" s="14" t="s">
        <v>428</v>
      </c>
      <c r="J5" s="14" t="s">
        <v>429</v>
      </c>
    </row>
    <row r="6" customFormat="false" ht="25.5" hidden="false" customHeight="tru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</row>
    <row r="7" customFormat="false" ht="25.5" hidden="false" customHeight="tru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</row>
    <row r="8" customFormat="false" ht="25.5" hidden="false" customHeight="tru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</row>
    <row r="9" customFormat="false" ht="25.5" hidden="false" customHeight="tru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customFormat="false" ht="25.5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25.5" hidden="false" customHeight="tru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25.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25.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customFormat="false" ht="25.5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25.5" hidden="false" customHeight="tru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customFormat="false" ht="25.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25.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25.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customFormat="false" ht="25.5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customFormat="false" ht="25.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customFormat="false" ht="25.5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customFormat="false" ht="25.5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customFormat="false" ht="25.5" hidden="false" customHeight="tru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customFormat="false" ht="25.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customFormat="false" ht="25.5" hidden="false" customHeight="tru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25.5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customFormat="false" ht="25.5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customFormat="false" ht="25.5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customFormat="false" ht="25.5" hidden="false" customHeight="tru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customFormat="false" ht="25.5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customFormat="false" ht="25.5" hidden="false" customHeight="tru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customFormat="false" ht="25.5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customFormat="false" ht="25.5" hidden="false" customHeight="tru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customFormat="false" ht="25.5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customFormat="false" ht="25.5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F5:F35" type="list">
      <formula1>"High,Medium,Low"</formula1>
      <formula2>0</formula2>
    </dataValidation>
    <dataValidation allowBlank="true" errorStyle="stop" operator="between" showDropDown="false" showErrorMessage="false" showInputMessage="false" sqref="J5:J35" type="list">
      <formula1>"Open,In Progress,Remediated - Pending Verification,Closed - Verified,Accepted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40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430</v>
      </c>
      <c r="B1" s="2"/>
      <c r="C1" s="2"/>
      <c r="D1" s="2"/>
      <c r="E1" s="2"/>
    </row>
    <row r="2" customFormat="false" ht="18" hidden="false" customHeight="true" outlineLevel="0" collapsed="false">
      <c r="A2" s="3" t="s">
        <v>431</v>
      </c>
      <c r="B2" s="3"/>
      <c r="C2" s="3"/>
      <c r="D2" s="3"/>
      <c r="E2" s="3"/>
    </row>
    <row r="4" customFormat="false" ht="31.5" hidden="false" customHeight="true" outlineLevel="0" collapsed="false">
      <c r="A4" s="9" t="s">
        <v>432</v>
      </c>
      <c r="B4" s="9" t="s">
        <v>433</v>
      </c>
      <c r="C4" s="9" t="s">
        <v>400</v>
      </c>
      <c r="D4" s="9" t="s">
        <v>434</v>
      </c>
      <c r="E4" s="9" t="s">
        <v>435</v>
      </c>
    </row>
    <row r="5" customFormat="false" ht="39.75" hidden="false" customHeight="true" outlineLevel="0" collapsed="false">
      <c r="A5" s="14" t="s">
        <v>436</v>
      </c>
      <c r="B5" s="14" t="s">
        <v>437</v>
      </c>
      <c r="C5" s="14" t="s">
        <v>438</v>
      </c>
      <c r="D5" s="14" t="s">
        <v>439</v>
      </c>
      <c r="E5" s="14" t="s">
        <v>95</v>
      </c>
    </row>
    <row r="6" customFormat="false" ht="39.75" hidden="false" customHeight="true" outlineLevel="0" collapsed="false">
      <c r="A6" s="16" t="s">
        <v>440</v>
      </c>
      <c r="B6" s="16" t="s">
        <v>441</v>
      </c>
      <c r="C6" s="16"/>
      <c r="D6" s="16" t="s">
        <v>442</v>
      </c>
      <c r="E6" s="16"/>
    </row>
    <row r="7" customFormat="false" ht="39.75" hidden="false" customHeight="true" outlineLevel="0" collapsed="false">
      <c r="A7" s="16" t="s">
        <v>443</v>
      </c>
      <c r="B7" s="16" t="s">
        <v>444</v>
      </c>
      <c r="C7" s="16"/>
      <c r="D7" s="16" t="s">
        <v>445</v>
      </c>
      <c r="E7" s="16"/>
    </row>
    <row r="8" customFormat="false" ht="39.75" hidden="false" customHeight="true" outlineLevel="0" collapsed="false">
      <c r="A8" s="16" t="s">
        <v>446</v>
      </c>
      <c r="B8" s="16" t="s">
        <v>447</v>
      </c>
      <c r="C8" s="16"/>
      <c r="D8" s="16" t="s">
        <v>448</v>
      </c>
      <c r="E8" s="16"/>
    </row>
    <row r="9" customFormat="false" ht="39.75" hidden="false" customHeight="true" outlineLevel="0" collapsed="false">
      <c r="A9" s="16" t="s">
        <v>449</v>
      </c>
      <c r="B9" s="16" t="s">
        <v>450</v>
      </c>
      <c r="C9" s="16"/>
      <c r="D9" s="16" t="s">
        <v>451</v>
      </c>
      <c r="E9" s="16"/>
    </row>
    <row r="10" customFormat="false" ht="39.75" hidden="false" customHeight="true" outlineLevel="0" collapsed="false">
      <c r="A10" s="16" t="s">
        <v>452</v>
      </c>
      <c r="B10" s="16" t="s">
        <v>453</v>
      </c>
      <c r="C10" s="16"/>
      <c r="D10" s="16" t="s">
        <v>454</v>
      </c>
      <c r="E10" s="16"/>
    </row>
    <row r="11" customFormat="false" ht="30" hidden="false" customHeight="true" outlineLevel="0" collapsed="false">
      <c r="A11" s="15"/>
      <c r="B11" s="15"/>
      <c r="C11" s="15"/>
      <c r="D11" s="15"/>
      <c r="E11" s="15"/>
    </row>
    <row r="12" customFormat="false" ht="30" hidden="false" customHeight="true" outlineLevel="0" collapsed="false">
      <c r="A12" s="15"/>
      <c r="B12" s="15"/>
      <c r="C12" s="15"/>
      <c r="D12" s="15"/>
      <c r="E12" s="15"/>
    </row>
    <row r="13" customFormat="false" ht="30" hidden="false" customHeight="true" outlineLevel="0" collapsed="false">
      <c r="A13" s="15"/>
      <c r="B13" s="15"/>
      <c r="C13" s="15"/>
      <c r="D13" s="15"/>
      <c r="E13" s="15"/>
    </row>
    <row r="14" customFormat="false" ht="30" hidden="false" customHeight="true" outlineLevel="0" collapsed="false">
      <c r="A14" s="15"/>
      <c r="B14" s="15"/>
      <c r="C14" s="15"/>
      <c r="D14" s="15"/>
      <c r="E14" s="15"/>
    </row>
    <row r="15" customFormat="false" ht="30" hidden="false" customHeight="true" outlineLevel="0" collapsed="false">
      <c r="A15" s="15"/>
      <c r="B15" s="15"/>
      <c r="C15" s="15"/>
      <c r="D15" s="15"/>
      <c r="E15" s="15"/>
    </row>
    <row r="16" customFormat="false" ht="30" hidden="false" customHeight="true" outlineLevel="0" collapsed="false">
      <c r="A16" s="15"/>
      <c r="B16" s="15"/>
      <c r="C16" s="15"/>
      <c r="D16" s="15"/>
      <c r="E16" s="15"/>
    </row>
    <row r="17" customFormat="false" ht="30" hidden="false" customHeight="true" outlineLevel="0" collapsed="false">
      <c r="A17" s="15"/>
      <c r="B17" s="15"/>
      <c r="C17" s="15"/>
      <c r="D17" s="15"/>
      <c r="E17" s="15"/>
    </row>
    <row r="18" customFormat="false" ht="30" hidden="false" customHeight="true" outlineLevel="0" collapsed="false">
      <c r="A18" s="15"/>
      <c r="B18" s="15"/>
      <c r="C18" s="15"/>
      <c r="D18" s="15"/>
      <c r="E18" s="15"/>
    </row>
    <row r="19" customFormat="false" ht="30" hidden="false" customHeight="true" outlineLevel="0" collapsed="false">
      <c r="A19" s="15"/>
      <c r="B19" s="15"/>
      <c r="C19" s="15"/>
      <c r="D19" s="15"/>
      <c r="E19" s="15"/>
    </row>
    <row r="20" customFormat="false" ht="30" hidden="false" customHeight="true" outlineLevel="0" collapsed="false">
      <c r="A20" s="15"/>
      <c r="B20" s="15"/>
      <c r="C20" s="15"/>
      <c r="D20" s="15"/>
      <c r="E20" s="1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8"/>
  </cols>
  <sheetData>
    <row r="1" customFormat="false" ht="27.75" hidden="false" customHeight="true" outlineLevel="0" collapsed="false">
      <c r="A1" s="2" t="s">
        <v>455</v>
      </c>
      <c r="B1" s="2"/>
    </row>
    <row r="2" customFormat="false" ht="18" hidden="false" customHeight="true" outlineLevel="0" collapsed="false">
      <c r="A2" s="3" t="s">
        <v>456</v>
      </c>
      <c r="B2" s="3"/>
    </row>
    <row r="4" customFormat="false" ht="21.75" hidden="false" customHeight="true" outlineLevel="0" collapsed="false">
      <c r="A4" s="12" t="s">
        <v>48</v>
      </c>
      <c r="B4" s="15"/>
    </row>
    <row r="5" customFormat="false" ht="21.75" hidden="false" customHeight="true" outlineLevel="0" collapsed="false">
      <c r="A5" s="12" t="s">
        <v>457</v>
      </c>
      <c r="B5" s="15"/>
    </row>
    <row r="6" customFormat="false" ht="21.75" hidden="false" customHeight="true" outlineLevel="0" collapsed="false">
      <c r="A6" s="12" t="s">
        <v>50</v>
      </c>
      <c r="B6" s="15"/>
    </row>
    <row r="7" customFormat="false" ht="21.75" hidden="false" customHeight="true" outlineLevel="0" collapsed="false">
      <c r="A7" s="12" t="s">
        <v>64</v>
      </c>
      <c r="B7" s="15"/>
    </row>
    <row r="8" customFormat="false" ht="43.5" hidden="false" customHeight="true" outlineLevel="0" collapsed="false">
      <c r="A8" s="12" t="s">
        <v>458</v>
      </c>
      <c r="B8" s="15"/>
    </row>
    <row r="9" customFormat="false" ht="21.75" hidden="false" customHeight="true" outlineLevel="0" collapsed="false">
      <c r="A9" s="12" t="s">
        <v>459</v>
      </c>
      <c r="B9" s="15"/>
    </row>
    <row r="10" customFormat="false" ht="21.75" hidden="false" customHeight="true" outlineLevel="0" collapsed="false">
      <c r="A10" s="12" t="s">
        <v>460</v>
      </c>
      <c r="B10" s="15"/>
    </row>
    <row r="11" customFormat="false" ht="43.5" hidden="false" customHeight="true" outlineLevel="0" collapsed="false">
      <c r="A11" s="12" t="s">
        <v>461</v>
      </c>
      <c r="B11" s="15"/>
    </row>
    <row r="12" customFormat="false" ht="43.5" hidden="false" customHeight="true" outlineLevel="0" collapsed="false">
      <c r="A12" s="12" t="s">
        <v>462</v>
      </c>
      <c r="B12" s="15"/>
    </row>
    <row r="13" customFormat="false" ht="43.5" hidden="false" customHeight="true" outlineLevel="0" collapsed="false">
      <c r="A13" s="12" t="s">
        <v>463</v>
      </c>
      <c r="B13" s="15"/>
    </row>
    <row r="15" customFormat="false" ht="16.15" hidden="false" customHeight="false" outlineLevel="0" collapsed="false">
      <c r="A15" s="6" t="s">
        <v>464</v>
      </c>
    </row>
    <row r="16" customFormat="false" ht="31.5" hidden="false" customHeight="true" outlineLevel="0" collapsed="false">
      <c r="A16" s="9" t="s">
        <v>392</v>
      </c>
      <c r="B16" s="9" t="s">
        <v>465</v>
      </c>
    </row>
    <row r="17" customFormat="false" ht="15" hidden="false" customHeight="false" outlineLevel="0" collapsed="false">
      <c r="A17" s="15" t="s">
        <v>425</v>
      </c>
      <c r="B17" s="15"/>
    </row>
    <row r="18" customFormat="false" ht="15" hidden="false" customHeight="false" outlineLevel="0" collapsed="false">
      <c r="A18" s="15" t="s">
        <v>466</v>
      </c>
      <c r="B18" s="15"/>
    </row>
    <row r="19" customFormat="false" ht="15" hidden="false" customHeight="false" outlineLevel="0" collapsed="false">
      <c r="A19" s="15" t="s">
        <v>467</v>
      </c>
      <c r="B19" s="15"/>
    </row>
    <row r="21" customFormat="false" ht="15" hidden="false" customHeight="false" outlineLevel="0" collapsed="false">
      <c r="A21" s="20" t="s">
        <v>468</v>
      </c>
      <c r="B21" s="20"/>
    </row>
    <row r="22" customFormat="false" ht="35.05" hidden="false" customHeight="false" outlineLevel="0" collapsed="false">
      <c r="A22" s="20" t="s">
        <v>469</v>
      </c>
      <c r="B22" s="20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4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9" min="7" style="1" width="16"/>
  </cols>
  <sheetData>
    <row r="1" customFormat="false" ht="27.75" hidden="false" customHeight="true" outlineLevel="0" collapsed="false">
      <c r="A1" s="2" t="s">
        <v>470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471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9" t="s">
        <v>472</v>
      </c>
      <c r="B4" s="9" t="s">
        <v>414</v>
      </c>
      <c r="C4" s="9" t="s">
        <v>473</v>
      </c>
      <c r="D4" s="9" t="s">
        <v>474</v>
      </c>
      <c r="E4" s="9" t="s">
        <v>392</v>
      </c>
      <c r="F4" s="9" t="s">
        <v>418</v>
      </c>
      <c r="G4" s="9" t="s">
        <v>475</v>
      </c>
      <c r="H4" s="9" t="s">
        <v>476</v>
      </c>
      <c r="I4" s="9" t="s">
        <v>420</v>
      </c>
    </row>
    <row r="5" customFormat="false" ht="35.05" hidden="false" customHeight="false" outlineLevel="0" collapsed="false">
      <c r="A5" s="14" t="s">
        <v>421</v>
      </c>
      <c r="B5" s="14" t="s">
        <v>199</v>
      </c>
      <c r="C5" s="14" t="s">
        <v>477</v>
      </c>
      <c r="D5" s="14" t="s">
        <v>478</v>
      </c>
      <c r="E5" s="14" t="s">
        <v>425</v>
      </c>
      <c r="F5" s="14" t="s">
        <v>427</v>
      </c>
      <c r="G5" s="14" t="s">
        <v>479</v>
      </c>
      <c r="H5" s="14" t="s">
        <v>428</v>
      </c>
      <c r="I5" s="14" t="s">
        <v>480</v>
      </c>
    </row>
    <row r="6" customFormat="false" ht="25.5" hidden="false" customHeight="true" outlineLevel="0" collapsed="false">
      <c r="A6" s="15"/>
      <c r="B6" s="15"/>
      <c r="C6" s="15"/>
      <c r="D6" s="15"/>
      <c r="E6" s="15"/>
      <c r="F6" s="15"/>
      <c r="G6" s="15"/>
      <c r="H6" s="15"/>
      <c r="I6" s="15"/>
    </row>
    <row r="7" customFormat="false" ht="25.5" hidden="false" customHeight="true" outlineLevel="0" collapsed="false">
      <c r="A7" s="15"/>
      <c r="B7" s="15"/>
      <c r="C7" s="15"/>
      <c r="D7" s="15"/>
      <c r="E7" s="15"/>
      <c r="F7" s="15"/>
      <c r="G7" s="15"/>
      <c r="H7" s="15"/>
      <c r="I7" s="15"/>
    </row>
    <row r="8" customFormat="false" ht="25.5" hidden="false" customHeight="true" outlineLevel="0" collapsed="false">
      <c r="A8" s="15"/>
      <c r="B8" s="15"/>
      <c r="C8" s="15"/>
      <c r="D8" s="15"/>
      <c r="E8" s="15"/>
      <c r="F8" s="15"/>
      <c r="G8" s="15"/>
      <c r="H8" s="15"/>
      <c r="I8" s="15"/>
    </row>
    <row r="9" customFormat="false" ht="25.5" hidden="false" customHeight="true" outlineLevel="0" collapsed="false">
      <c r="A9" s="15"/>
      <c r="B9" s="15"/>
      <c r="C9" s="15"/>
      <c r="D9" s="15"/>
      <c r="E9" s="15"/>
      <c r="F9" s="15"/>
      <c r="G9" s="15"/>
      <c r="H9" s="15"/>
      <c r="I9" s="15"/>
    </row>
    <row r="10" customFormat="false" ht="25.5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</row>
    <row r="11" customFormat="false" ht="25.5" hidden="false" customHeight="true" outlineLevel="0" collapsed="false">
      <c r="A11" s="15"/>
      <c r="B11" s="15"/>
      <c r="C11" s="15"/>
      <c r="D11" s="15"/>
      <c r="E11" s="15"/>
      <c r="F11" s="15"/>
      <c r="G11" s="15"/>
      <c r="H11" s="15"/>
      <c r="I11" s="15"/>
    </row>
    <row r="12" customFormat="false" ht="25.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</row>
    <row r="13" customFormat="false" ht="25.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</row>
    <row r="14" customFormat="false" ht="25.5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  <c r="I14" s="15"/>
    </row>
    <row r="15" customFormat="false" ht="25.5" hidden="false" customHeight="true" outlineLevel="0" collapsed="false">
      <c r="A15" s="15"/>
      <c r="B15" s="15"/>
      <c r="C15" s="15"/>
      <c r="D15" s="15"/>
      <c r="E15" s="15"/>
      <c r="F15" s="15"/>
      <c r="G15" s="15"/>
      <c r="H15" s="15"/>
      <c r="I15" s="15"/>
    </row>
    <row r="16" customFormat="false" ht="25.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</row>
    <row r="17" customFormat="false" ht="25.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</row>
    <row r="18" customFormat="false" ht="25.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</row>
    <row r="19" customFormat="false" ht="25.5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  <c r="I19" s="15"/>
    </row>
    <row r="20" customFormat="false" ht="25.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</row>
    <row r="21" customFormat="false" ht="25.5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</row>
    <row r="22" customFormat="false" ht="25.5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</row>
    <row r="23" customFormat="false" ht="25.5" hidden="false" customHeight="true" outlineLevel="0" collapsed="false">
      <c r="A23" s="15"/>
      <c r="B23" s="15"/>
      <c r="C23" s="15"/>
      <c r="D23" s="15"/>
      <c r="E23" s="15"/>
      <c r="F23" s="15"/>
      <c r="G23" s="15"/>
      <c r="H23" s="15"/>
      <c r="I23" s="15"/>
    </row>
    <row r="24" customFormat="false" ht="25.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</row>
    <row r="25" customFormat="false" ht="25.5" hidden="false" customHeight="true" outlineLevel="0" collapsed="false">
      <c r="A25" s="15"/>
      <c r="B25" s="15"/>
      <c r="C25" s="15"/>
      <c r="D25" s="15"/>
      <c r="E25" s="15"/>
      <c r="F25" s="15"/>
      <c r="G25" s="15"/>
      <c r="H25" s="15"/>
      <c r="I25" s="15"/>
    </row>
    <row r="26" customFormat="false" ht="25.5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</row>
    <row r="27" customFormat="false" ht="25.5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  <c r="I27" s="15"/>
    </row>
    <row r="28" customFormat="false" ht="25.5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</row>
    <row r="29" customFormat="false" ht="25.5" hidden="false" customHeight="true" outlineLevel="0" collapsed="false">
      <c r="A29" s="15"/>
      <c r="B29" s="15"/>
      <c r="C29" s="15"/>
      <c r="D29" s="15"/>
      <c r="E29" s="15"/>
      <c r="F29" s="15"/>
      <c r="G29" s="15"/>
      <c r="H29" s="15"/>
      <c r="I29" s="15"/>
    </row>
    <row r="30" customFormat="false" ht="25.5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</row>
    <row r="31" customFormat="false" ht="25.5" hidden="false" customHeight="true" outlineLevel="0" collapsed="false">
      <c r="A31" s="15"/>
      <c r="B31" s="15"/>
      <c r="C31" s="15"/>
      <c r="D31" s="15"/>
      <c r="E31" s="15"/>
      <c r="F31" s="15"/>
      <c r="G31" s="15"/>
      <c r="H31" s="15"/>
      <c r="I31" s="15"/>
    </row>
    <row r="32" customFormat="false" ht="25.5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</row>
    <row r="33" customFormat="false" ht="25.5" hidden="false" customHeight="true" outlineLevel="0" collapsed="false">
      <c r="A33" s="15"/>
      <c r="B33" s="15"/>
      <c r="C33" s="15"/>
      <c r="D33" s="15"/>
      <c r="E33" s="15"/>
      <c r="F33" s="15"/>
      <c r="G33" s="15"/>
      <c r="H33" s="15"/>
      <c r="I33" s="15"/>
    </row>
    <row r="34" customFormat="false" ht="25.5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</row>
    <row r="35" customFormat="false" ht="25.5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E5:E35" type="list">
      <formula1>"High,Medium,Low"</formula1>
      <formula2>0</formula2>
    </dataValidation>
    <dataValidation allowBlank="true" errorStyle="stop" operator="between" showDropDown="false" showErrorMessage="false" showInputMessage="false" sqref="I5:I35" type="list">
      <formula1>"Not Started,In Progress,Blocked,Complete - Pending Verification,Verified 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8" min="8" style="1" width="26"/>
    <col collapsed="false" customWidth="true" hidden="false" outlineLevel="0" max="9" min="9" style="1" width="12"/>
    <col collapsed="false" customWidth="true" hidden="false" outlineLevel="0" max="11" min="10" style="1" width="16"/>
  </cols>
  <sheetData>
    <row r="1" customFormat="false" ht="27.75" hidden="false" customHeight="true" outlineLevel="0" collapsed="false">
      <c r="A1" s="2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482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9" t="s">
        <v>483</v>
      </c>
      <c r="B4" s="9" t="s">
        <v>484</v>
      </c>
      <c r="C4" s="9" t="s">
        <v>485</v>
      </c>
      <c r="D4" s="9" t="s">
        <v>486</v>
      </c>
      <c r="E4" s="9" t="s">
        <v>487</v>
      </c>
      <c r="F4" s="9" t="s">
        <v>488</v>
      </c>
      <c r="G4" s="9" t="s">
        <v>489</v>
      </c>
      <c r="H4" s="9" t="s">
        <v>490</v>
      </c>
      <c r="I4" s="9" t="s">
        <v>491</v>
      </c>
      <c r="J4" s="9" t="s">
        <v>418</v>
      </c>
      <c r="K4" s="9" t="s">
        <v>492</v>
      </c>
    </row>
    <row r="5" customFormat="false" ht="35.05" hidden="false" customHeight="false" outlineLevel="0" collapsed="false">
      <c r="A5" s="14" t="s">
        <v>493</v>
      </c>
      <c r="B5" s="14" t="s">
        <v>494</v>
      </c>
      <c r="C5" s="14" t="s">
        <v>495</v>
      </c>
      <c r="D5" s="14" t="s">
        <v>496</v>
      </c>
      <c r="E5" s="14" t="n">
        <v>4</v>
      </c>
      <c r="F5" s="14" t="n">
        <v>5</v>
      </c>
      <c r="G5" s="14" t="n">
        <f aca="false">E5*F5</f>
        <v>20</v>
      </c>
      <c r="H5" s="14" t="s">
        <v>497</v>
      </c>
      <c r="I5" s="14" t="n">
        <v>2</v>
      </c>
      <c r="J5" s="14" t="s">
        <v>427</v>
      </c>
      <c r="K5" s="14" t="s">
        <v>498</v>
      </c>
    </row>
    <row r="6" customFormat="false" ht="24" hidden="false" customHeight="true" outlineLevel="0" collapsed="false">
      <c r="A6" s="15"/>
      <c r="B6" s="15"/>
      <c r="C6" s="15"/>
      <c r="D6" s="15"/>
      <c r="E6" s="15"/>
      <c r="F6" s="15"/>
      <c r="G6" s="15" t="n">
        <f aca="false">E6*F6</f>
        <v>0</v>
      </c>
      <c r="H6" s="15"/>
      <c r="I6" s="15"/>
      <c r="J6" s="15"/>
      <c r="K6" s="15"/>
    </row>
    <row r="7" customFormat="false" ht="24" hidden="false" customHeight="true" outlineLevel="0" collapsed="false">
      <c r="A7" s="15"/>
      <c r="B7" s="15"/>
      <c r="C7" s="15"/>
      <c r="D7" s="15"/>
      <c r="E7" s="15"/>
      <c r="F7" s="15"/>
      <c r="G7" s="15" t="n">
        <f aca="false">E7*F7</f>
        <v>0</v>
      </c>
      <c r="H7" s="15"/>
      <c r="I7" s="15"/>
      <c r="J7" s="15"/>
      <c r="K7" s="15"/>
    </row>
    <row r="8" customFormat="false" ht="24" hidden="false" customHeight="true" outlineLevel="0" collapsed="false">
      <c r="A8" s="15"/>
      <c r="B8" s="15"/>
      <c r="C8" s="15"/>
      <c r="D8" s="15"/>
      <c r="E8" s="15"/>
      <c r="F8" s="15"/>
      <c r="G8" s="15" t="n">
        <f aca="false">E8*F8</f>
        <v>0</v>
      </c>
      <c r="H8" s="15"/>
      <c r="I8" s="15"/>
      <c r="J8" s="15"/>
      <c r="K8" s="15"/>
    </row>
    <row r="9" customFormat="false" ht="24" hidden="false" customHeight="true" outlineLevel="0" collapsed="false">
      <c r="A9" s="15"/>
      <c r="B9" s="15"/>
      <c r="C9" s="15"/>
      <c r="D9" s="15"/>
      <c r="E9" s="15"/>
      <c r="F9" s="15"/>
      <c r="G9" s="15" t="n">
        <f aca="false">E9*F9</f>
        <v>0</v>
      </c>
      <c r="H9" s="15"/>
      <c r="I9" s="15"/>
      <c r="J9" s="15"/>
      <c r="K9" s="15"/>
    </row>
    <row r="10" customFormat="false" ht="24" hidden="false" customHeight="true" outlineLevel="0" collapsed="false">
      <c r="A10" s="15"/>
      <c r="B10" s="15"/>
      <c r="C10" s="15"/>
      <c r="D10" s="15"/>
      <c r="E10" s="15"/>
      <c r="F10" s="15"/>
      <c r="G10" s="15" t="n">
        <f aca="false">E10*F10</f>
        <v>0</v>
      </c>
      <c r="H10" s="15"/>
      <c r="I10" s="15"/>
      <c r="J10" s="15"/>
      <c r="K10" s="15"/>
    </row>
    <row r="11" customFormat="false" ht="24" hidden="false" customHeight="true" outlineLevel="0" collapsed="false">
      <c r="A11" s="15"/>
      <c r="B11" s="15"/>
      <c r="C11" s="15"/>
      <c r="D11" s="15"/>
      <c r="E11" s="15"/>
      <c r="F11" s="15"/>
      <c r="G11" s="15" t="n">
        <f aca="false">E11*F11</f>
        <v>0</v>
      </c>
      <c r="H11" s="15"/>
      <c r="I11" s="15"/>
      <c r="J11" s="15"/>
      <c r="K11" s="15"/>
    </row>
    <row r="12" customFormat="false" ht="24" hidden="false" customHeight="true" outlineLevel="0" collapsed="false">
      <c r="A12" s="15"/>
      <c r="B12" s="15"/>
      <c r="C12" s="15"/>
      <c r="D12" s="15"/>
      <c r="E12" s="15"/>
      <c r="F12" s="15"/>
      <c r="G12" s="15" t="n">
        <f aca="false">E12*F12</f>
        <v>0</v>
      </c>
      <c r="H12" s="15"/>
      <c r="I12" s="15"/>
      <c r="J12" s="15"/>
      <c r="K12" s="15"/>
    </row>
    <row r="13" customFormat="false" ht="24" hidden="false" customHeight="true" outlineLevel="0" collapsed="false">
      <c r="A13" s="15"/>
      <c r="B13" s="15"/>
      <c r="C13" s="15"/>
      <c r="D13" s="15"/>
      <c r="E13" s="15"/>
      <c r="F13" s="15"/>
      <c r="G13" s="15" t="n">
        <f aca="false">E13*F13</f>
        <v>0</v>
      </c>
      <c r="H13" s="15"/>
      <c r="I13" s="15"/>
      <c r="J13" s="15"/>
      <c r="K13" s="15"/>
    </row>
    <row r="14" customFormat="false" ht="24" hidden="false" customHeight="true" outlineLevel="0" collapsed="false">
      <c r="A14" s="15"/>
      <c r="B14" s="15"/>
      <c r="C14" s="15"/>
      <c r="D14" s="15"/>
      <c r="E14" s="15"/>
      <c r="F14" s="15"/>
      <c r="G14" s="15" t="n">
        <f aca="false">E14*F14</f>
        <v>0</v>
      </c>
      <c r="H14" s="15"/>
      <c r="I14" s="15"/>
      <c r="J14" s="15"/>
      <c r="K14" s="15"/>
    </row>
    <row r="15" customFormat="false" ht="24" hidden="false" customHeight="true" outlineLevel="0" collapsed="false">
      <c r="A15" s="15"/>
      <c r="B15" s="15"/>
      <c r="C15" s="15"/>
      <c r="D15" s="15"/>
      <c r="E15" s="15"/>
      <c r="F15" s="15"/>
      <c r="G15" s="15" t="n">
        <f aca="false">E15*F15</f>
        <v>0</v>
      </c>
      <c r="H15" s="15"/>
      <c r="I15" s="15"/>
      <c r="J15" s="15"/>
      <c r="K15" s="15"/>
    </row>
    <row r="16" customFormat="false" ht="24" hidden="false" customHeight="true" outlineLevel="0" collapsed="false">
      <c r="A16" s="15"/>
      <c r="B16" s="15"/>
      <c r="C16" s="15"/>
      <c r="D16" s="15"/>
      <c r="E16" s="15"/>
      <c r="F16" s="15"/>
      <c r="G16" s="15" t="n">
        <f aca="false">E16*F16</f>
        <v>0</v>
      </c>
      <c r="H16" s="15"/>
      <c r="I16" s="15"/>
      <c r="J16" s="15"/>
      <c r="K16" s="15"/>
    </row>
    <row r="17" customFormat="false" ht="24" hidden="false" customHeight="true" outlineLevel="0" collapsed="false">
      <c r="A17" s="15"/>
      <c r="B17" s="15"/>
      <c r="C17" s="15"/>
      <c r="D17" s="15"/>
      <c r="E17" s="15"/>
      <c r="F17" s="15"/>
      <c r="G17" s="15" t="n">
        <f aca="false">E17*F17</f>
        <v>0</v>
      </c>
      <c r="H17" s="15"/>
      <c r="I17" s="15"/>
      <c r="J17" s="15"/>
      <c r="K17" s="15"/>
    </row>
    <row r="18" customFormat="false" ht="24" hidden="false" customHeight="true" outlineLevel="0" collapsed="false">
      <c r="A18" s="15"/>
      <c r="B18" s="15"/>
      <c r="C18" s="15"/>
      <c r="D18" s="15"/>
      <c r="E18" s="15"/>
      <c r="F18" s="15"/>
      <c r="G18" s="15" t="n">
        <f aca="false">E18*F18</f>
        <v>0</v>
      </c>
      <c r="H18" s="15"/>
      <c r="I18" s="15"/>
      <c r="J18" s="15"/>
      <c r="K18" s="15"/>
    </row>
    <row r="19" customFormat="false" ht="24" hidden="false" customHeight="true" outlineLevel="0" collapsed="false">
      <c r="A19" s="15"/>
      <c r="B19" s="15"/>
      <c r="C19" s="15"/>
      <c r="D19" s="15"/>
      <c r="E19" s="15"/>
      <c r="F19" s="15"/>
      <c r="G19" s="15" t="n">
        <f aca="false">E19*F19</f>
        <v>0</v>
      </c>
      <c r="H19" s="15"/>
      <c r="I19" s="15"/>
      <c r="J19" s="15"/>
      <c r="K19" s="15"/>
    </row>
    <row r="20" customFormat="false" ht="24" hidden="false" customHeight="true" outlineLevel="0" collapsed="false">
      <c r="A20" s="15"/>
      <c r="B20" s="15"/>
      <c r="C20" s="15"/>
      <c r="D20" s="15"/>
      <c r="E20" s="15"/>
      <c r="F20" s="15"/>
      <c r="G20" s="15" t="n">
        <f aca="false">E20*F20</f>
        <v>0</v>
      </c>
      <c r="H20" s="15"/>
      <c r="I20" s="15"/>
      <c r="J20" s="15"/>
      <c r="K20" s="15"/>
    </row>
    <row r="21" customFormat="false" ht="24" hidden="false" customHeight="true" outlineLevel="0" collapsed="false">
      <c r="A21" s="15"/>
      <c r="B21" s="15"/>
      <c r="C21" s="15"/>
      <c r="D21" s="15"/>
      <c r="E21" s="15"/>
      <c r="F21" s="15"/>
      <c r="G21" s="15" t="n">
        <f aca="false">E21*F21</f>
        <v>0</v>
      </c>
      <c r="H21" s="15"/>
      <c r="I21" s="15"/>
      <c r="J21" s="15"/>
      <c r="K21" s="15"/>
    </row>
    <row r="22" customFormat="false" ht="24" hidden="false" customHeight="true" outlineLevel="0" collapsed="false">
      <c r="A22" s="15"/>
      <c r="B22" s="15"/>
      <c r="C22" s="15"/>
      <c r="D22" s="15"/>
      <c r="E22" s="15"/>
      <c r="F22" s="15"/>
      <c r="G22" s="15" t="n">
        <f aca="false">E22*F22</f>
        <v>0</v>
      </c>
      <c r="H22" s="15"/>
      <c r="I22" s="15"/>
      <c r="J22" s="15"/>
      <c r="K22" s="15"/>
    </row>
    <row r="23" customFormat="false" ht="24" hidden="false" customHeight="true" outlineLevel="0" collapsed="false">
      <c r="A23" s="15"/>
      <c r="B23" s="15"/>
      <c r="C23" s="15"/>
      <c r="D23" s="15"/>
      <c r="E23" s="15"/>
      <c r="F23" s="15"/>
      <c r="G23" s="15" t="n">
        <f aca="false">E23*F23</f>
        <v>0</v>
      </c>
      <c r="H23" s="15"/>
      <c r="I23" s="15"/>
      <c r="J23" s="15"/>
      <c r="K23" s="15"/>
    </row>
    <row r="24" customFormat="false" ht="24" hidden="false" customHeight="true" outlineLevel="0" collapsed="false">
      <c r="A24" s="15"/>
      <c r="B24" s="15"/>
      <c r="C24" s="15"/>
      <c r="D24" s="15"/>
      <c r="E24" s="15"/>
      <c r="F24" s="15"/>
      <c r="G24" s="15" t="n">
        <f aca="false">E24*F24</f>
        <v>0</v>
      </c>
      <c r="H24" s="15"/>
      <c r="I24" s="15"/>
      <c r="J24" s="15"/>
      <c r="K24" s="15"/>
    </row>
    <row r="25" customFormat="false" ht="24" hidden="false" customHeight="true" outlineLevel="0" collapsed="false">
      <c r="A25" s="15"/>
      <c r="B25" s="15"/>
      <c r="C25" s="15"/>
      <c r="D25" s="15"/>
      <c r="E25" s="15"/>
      <c r="F25" s="15"/>
      <c r="G25" s="15" t="n">
        <f aca="false">E25*F25</f>
        <v>0</v>
      </c>
      <c r="H25" s="15"/>
      <c r="I25" s="15"/>
      <c r="J25" s="15"/>
      <c r="K25" s="15"/>
    </row>
    <row r="26" customFormat="false" ht="24" hidden="false" customHeight="true" outlineLevel="0" collapsed="false">
      <c r="A26" s="15"/>
      <c r="B26" s="15"/>
      <c r="C26" s="15"/>
      <c r="D26" s="15"/>
      <c r="E26" s="15"/>
      <c r="F26" s="15"/>
      <c r="G26" s="15" t="n">
        <f aca="false">E26*F26</f>
        <v>0</v>
      </c>
      <c r="H26" s="15"/>
      <c r="I26" s="15"/>
      <c r="J26" s="15"/>
      <c r="K26" s="15"/>
    </row>
    <row r="27" customFormat="false" ht="24" hidden="false" customHeight="true" outlineLevel="0" collapsed="false">
      <c r="A27" s="15"/>
      <c r="B27" s="15"/>
      <c r="C27" s="15"/>
      <c r="D27" s="15"/>
      <c r="E27" s="15"/>
      <c r="F27" s="15"/>
      <c r="G27" s="15" t="n">
        <f aca="false">E27*F27</f>
        <v>0</v>
      </c>
      <c r="H27" s="15"/>
      <c r="I27" s="15"/>
      <c r="J27" s="15"/>
      <c r="K27" s="15"/>
    </row>
    <row r="28" customFormat="false" ht="24" hidden="false" customHeight="true" outlineLevel="0" collapsed="false">
      <c r="A28" s="15"/>
      <c r="B28" s="15"/>
      <c r="C28" s="15"/>
      <c r="D28" s="15"/>
      <c r="E28" s="15"/>
      <c r="F28" s="15"/>
      <c r="G28" s="15" t="n">
        <f aca="false">E28*F28</f>
        <v>0</v>
      </c>
      <c r="H28" s="15"/>
      <c r="I28" s="15"/>
      <c r="J28" s="15"/>
      <c r="K28" s="15"/>
    </row>
    <row r="29" customFormat="false" ht="24" hidden="false" customHeight="true" outlineLevel="0" collapsed="false">
      <c r="A29" s="15"/>
      <c r="B29" s="15"/>
      <c r="C29" s="15"/>
      <c r="D29" s="15"/>
      <c r="E29" s="15"/>
      <c r="F29" s="15"/>
      <c r="G29" s="15" t="n">
        <f aca="false">E29*F29</f>
        <v>0</v>
      </c>
      <c r="H29" s="15"/>
      <c r="I29" s="15"/>
      <c r="J29" s="15"/>
      <c r="K29" s="15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D5:D29" type="list">
      <formula1>"Vulnerability Management,Access Control,Data Protection,Supply Chain,Incident Response,Resilience / Availability,Governance"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499</v>
      </c>
      <c r="B1" s="2"/>
      <c r="C1" s="2"/>
      <c r="D1" s="2"/>
      <c r="E1" s="2"/>
    </row>
    <row r="2" customFormat="false" ht="18" hidden="false" customHeight="true" outlineLevel="0" collapsed="false">
      <c r="A2" s="3" t="s">
        <v>500</v>
      </c>
      <c r="B2" s="3"/>
      <c r="C2" s="3"/>
      <c r="D2" s="3"/>
      <c r="E2" s="3"/>
    </row>
    <row r="4" customFormat="false" ht="31.5" hidden="false" customHeight="true" outlineLevel="0" collapsed="false">
      <c r="A4" s="12" t="s">
        <v>501</v>
      </c>
      <c r="B4" s="13" t="s">
        <v>502</v>
      </c>
      <c r="C4" s="13"/>
      <c r="D4" s="13"/>
      <c r="E4" s="13"/>
    </row>
    <row r="5" customFormat="false" ht="31.5" hidden="false" customHeight="true" outlineLevel="0" collapsed="false">
      <c r="A5" s="12" t="s">
        <v>503</v>
      </c>
      <c r="B5" s="13" t="s">
        <v>504</v>
      </c>
      <c r="C5" s="13"/>
      <c r="D5" s="13"/>
      <c r="E5" s="13"/>
    </row>
    <row r="7" customFormat="false" ht="31.5" hidden="false" customHeight="true" outlineLevel="0" collapsed="false">
      <c r="A7" s="9" t="s">
        <v>505</v>
      </c>
      <c r="B7" s="9" t="s">
        <v>506</v>
      </c>
      <c r="C7" s="9" t="s">
        <v>492</v>
      </c>
      <c r="D7" s="9" t="s">
        <v>507</v>
      </c>
      <c r="E7" s="9" t="s">
        <v>508</v>
      </c>
    </row>
    <row r="8" customFormat="false" ht="23.85" hidden="false" customHeight="false" outlineLevel="0" collapsed="false">
      <c r="A8" s="14" t="s">
        <v>509</v>
      </c>
      <c r="B8" s="14" t="s">
        <v>510</v>
      </c>
      <c r="C8" s="14" t="s">
        <v>511</v>
      </c>
      <c r="D8" s="14" t="s">
        <v>512</v>
      </c>
      <c r="E8" s="14" t="s">
        <v>513</v>
      </c>
    </row>
    <row r="9" customFormat="false" ht="24" hidden="false" customHeight="true" outlineLevel="0" collapsed="false">
      <c r="A9" s="16" t="s">
        <v>166</v>
      </c>
      <c r="B9" s="16"/>
      <c r="C9" s="16"/>
      <c r="D9" s="16"/>
      <c r="E9" s="16"/>
    </row>
    <row r="10" customFormat="false" ht="24" hidden="false" customHeight="true" outlineLevel="0" collapsed="false">
      <c r="A10" s="16" t="s">
        <v>215</v>
      </c>
      <c r="B10" s="16"/>
      <c r="C10" s="16"/>
      <c r="D10" s="16"/>
      <c r="E10" s="16"/>
    </row>
    <row r="11" customFormat="false" ht="24" hidden="false" customHeight="true" outlineLevel="0" collapsed="false">
      <c r="A11" s="16" t="s">
        <v>270</v>
      </c>
      <c r="B11" s="16"/>
      <c r="C11" s="16"/>
      <c r="D11" s="16"/>
      <c r="E11" s="16"/>
    </row>
    <row r="12" customFormat="false" ht="24" hidden="false" customHeight="true" outlineLevel="0" collapsed="false">
      <c r="A12" s="16" t="s">
        <v>297</v>
      </c>
      <c r="B12" s="16"/>
      <c r="C12" s="16"/>
      <c r="D12" s="16"/>
      <c r="E12" s="16"/>
    </row>
    <row r="13" customFormat="false" ht="24" hidden="false" customHeight="true" outlineLevel="0" collapsed="false">
      <c r="A13" s="16" t="s">
        <v>332</v>
      </c>
      <c r="B13" s="16"/>
      <c r="C13" s="16"/>
      <c r="D13" s="16"/>
      <c r="E13" s="16"/>
    </row>
  </sheetData>
  <mergeCells count="4">
    <mergeCell ref="A1:E1"/>
    <mergeCell ref="A2:E2"/>
    <mergeCell ref="B4:E4"/>
    <mergeCell ref="B5:E5"/>
  </mergeCells>
  <dataValidations count="1">
    <dataValidation allowBlank="true" errorStyle="stop" operator="between" showDropDown="false" showErrorMessage="false" showInputMessage="false" sqref="B8:B13" type="list">
      <formula1>"Annual,Semi-Annual,Quarterly,Ad hoc / Trigger-based"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2026-08-13T15:25:59Z</dcterms:created>
  <dc:creator>openpyxl</dc:creator>
  <dc:description/>
  <dc:language>en-US</dc:language>
  <cp:lastModifiedBy/>
  <dcterms:modified xsi:type="dcterms:W3CDTF">2026-08-13T15:25:59Z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